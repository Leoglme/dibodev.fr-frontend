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des passages" sheetId="1" state="visible" r:id="rId1"/>
    <sheet xmlns:r="http://schemas.openxmlformats.org/officeDocument/2006/relationships" name="Contrôle qualité" sheetId="2" state="visible" r:id="rId2"/>
  </sheets>
  <definedNames>
    <definedName name="_xlnm.Print_Area" localSheetId="0">'Planning des passages'!$A$1:$Q$52</definedName>
    <definedName name="_xlnm.Print_Area" localSheetId="1">'Contrôle qualité'!$A$1:$F$50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"/>
    <numFmt numFmtId="166" formatCode="0.00;-0.00;&quot;&quot;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41414"/>
      <sz val="18"/>
    </font>
    <font>
      <name val="Arial"/>
      <color rgb="0066665F"/>
      <sz val="9"/>
    </font>
    <font>
      <name val="Arial"/>
      <color rgb="00141414"/>
      <sz val="10"/>
    </font>
    <font>
      <name val="Arial"/>
      <b val="1"/>
      <color rgb="004F42C9"/>
      <sz val="10"/>
    </font>
    <font>
      <name val="Arial"/>
      <b val="1"/>
      <color rgb="00141414"/>
      <sz val="9"/>
    </font>
    <font>
      <name val="Arial"/>
      <b val="1"/>
      <color rgb="00141414"/>
      <sz val="10"/>
    </font>
    <font>
      <name val="Arial"/>
      <i val="1"/>
      <color rgb="0066665F"/>
      <sz val="8"/>
    </font>
    <font>
      <name val="Arial"/>
      <color rgb="00B42318"/>
      <sz val="9"/>
    </font>
  </fonts>
  <fills count="3">
    <fill>
      <patternFill/>
    </fill>
    <fill>
      <patternFill patternType="gray125"/>
    </fill>
    <fill>
      <patternFill patternType="solid">
        <fgColor rgb="00F6F6F3"/>
      </patternFill>
    </fill>
  </fills>
  <borders count="4">
    <border>
      <left/>
      <right/>
      <top/>
      <bottom/>
      <diagonal/>
    </border>
    <border>
      <bottom style="thin">
        <color rgb="00B8B8B2"/>
      </bottom>
    </border>
    <border>
      <left style="thin">
        <color rgb="00141414"/>
      </left>
      <right style="thin">
        <color rgb="00141414"/>
      </right>
      <top style="thin">
        <color rgb="00141414"/>
      </top>
      <bottom style="thin">
        <color rgb="00141414"/>
      </bottom>
    </border>
    <border>
      <left style="thin">
        <color rgb="00B8B8B2"/>
      </left>
      <right style="thin">
        <color rgb="00B8B8B2"/>
      </right>
      <top style="thin">
        <color rgb="00B8B8B2"/>
      </top>
      <bottom style="thin">
        <color rgb="00B8B8B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/>
    </xf>
    <xf numFmtId="164" fontId="3" fillId="0" borderId="1" pivotButton="0" quotePrefix="0" xfId="0"/>
    <xf numFmtId="0" fontId="5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3" pivotButton="0" quotePrefix="0" xfId="0"/>
    <xf numFmtId="165" fontId="3" fillId="0" borderId="3" applyAlignment="1" pivotButton="0" quotePrefix="0" xfId="0">
      <alignment horizontal="center" vertical="center"/>
    </xf>
    <xf numFmtId="166" fontId="6" fillId="0" borderId="3" applyAlignment="1" pivotButton="0" quotePrefix="0" xfId="0">
      <alignment horizontal="center" vertical="center"/>
    </xf>
    <xf numFmtId="0" fontId="5" fillId="2" borderId="2" pivotButton="0" quotePrefix="0" xfId="0"/>
    <xf numFmtId="0" fontId="0" fillId="2" borderId="2" pivotButton="0" quotePrefix="0" xfId="0"/>
    <xf numFmtId="166" fontId="5" fillId="2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5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/>
    </xf>
    <xf numFmtId="2" fontId="6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0" fillId="0" borderId="3" pivotButton="0" quotePrefix="0" xfId="0"/>
    <xf numFmtId="0" fontId="2" fillId="0" borderId="3" applyAlignment="1" pivotButton="0" quotePrefix="0" xfId="0">
      <alignment vertical="top" wrapText="1"/>
    </xf>
    <xf numFmtId="0" fontId="0" fillId="0" borderId="2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 wrapText="1"/>
    </xf>
    <xf numFmtId="1" fontId="6" fillId="0" borderId="2" applyAlignment="1" pivotButton="0" quotePrefix="0" xfId="0">
      <alignment horizontal="left" vertical="center" indent="1"/>
    </xf>
    <xf numFmtId="9" fontId="6" fillId="0" borderId="2" applyAlignment="1" pivotButton="0" quotePrefix="0" xfId="0">
      <alignment horizontal="left" vertical="center" indent="1"/>
    </xf>
    <xf numFmtId="167" fontId="6" fillId="0" borderId="2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b val="1"/>
        <color rgb="00B42318"/>
      </font>
    </dxf>
    <dxf>
      <font>
        <b val="1"/>
        <color rgb="001F7A3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11" customWidth="1" min="17" max="17"/>
  </cols>
  <sheetData>
    <row r="1" ht="26" customHeight="1">
      <c r="A1" s="1" t="inlineStr">
        <is>
          <t>Planning des passages</t>
        </is>
      </c>
      <c r="M1" s="2" t="inlineStr">
        <is>
          <t>Entreprise (nom, adresse, téléphone)</t>
        </is>
      </c>
    </row>
    <row r="2">
      <c r="A2" s="3" t="inlineStr">
        <is>
          <t>La semaine de vos équipes, site par site : un agent par ligne, ses horaires de chaque jour</t>
        </is>
      </c>
      <c r="M2" s="4" t="n"/>
      <c r="N2" s="5" t="n"/>
      <c r="O2" s="5" t="n"/>
      <c r="P2" s="5" t="n"/>
      <c r="Q2" s="5" t="n"/>
    </row>
    <row r="3">
      <c r="M3" s="4" t="n"/>
      <c r="N3" s="5" t="n"/>
      <c r="O3" s="5" t="n"/>
      <c r="P3" s="5" t="n"/>
      <c r="Q3" s="5" t="n"/>
    </row>
    <row r="5" ht="18" customHeight="1">
      <c r="A5" s="6" t="inlineStr">
        <is>
          <t>SEMAINE</t>
        </is>
      </c>
    </row>
    <row r="6" ht="20" customHeight="1">
      <c r="A6" s="7" t="inlineStr">
        <is>
          <t>Semaine du</t>
        </is>
      </c>
      <c r="B6" s="8" t="n"/>
      <c r="C6" s="7" t="inlineStr">
        <is>
          <t>Secteur ou équipe</t>
        </is>
      </c>
      <c r="G6" s="4" t="n"/>
      <c r="H6" s="5" t="n"/>
      <c r="I6" s="5" t="n"/>
      <c r="J6" s="5" t="n"/>
      <c r="K6" s="7" t="inlineStr">
        <is>
          <t>Responsable</t>
        </is>
      </c>
      <c r="N6" s="4" t="n"/>
      <c r="O6" s="5" t="n"/>
      <c r="P6" s="5" t="n"/>
      <c r="Q6" s="5" t="n"/>
    </row>
    <row r="8" ht="18" customHeight="1">
      <c r="A8" s="6" t="inlineStr">
        <is>
          <t>PASSAGES DE LA SEMAINE (HEURES AU FORMAT HH:MM)</t>
        </is>
      </c>
    </row>
    <row r="9" ht="18" customHeight="1">
      <c r="A9" s="9" t="inlineStr">
        <is>
          <t>Site client</t>
        </is>
      </c>
      <c r="B9" s="9" t="inlineStr">
        <is>
          <t>Agent</t>
        </is>
      </c>
      <c r="C9" s="10" t="inlineStr">
        <is>
          <t>Lundi</t>
        </is>
      </c>
      <c r="D9" s="10" t="n"/>
      <c r="E9" s="10" t="inlineStr">
        <is>
          <t>Mardi</t>
        </is>
      </c>
      <c r="F9" s="10" t="n"/>
      <c r="G9" s="10" t="inlineStr">
        <is>
          <t>Mercredi</t>
        </is>
      </c>
      <c r="H9" s="10" t="n"/>
      <c r="I9" s="10" t="inlineStr">
        <is>
          <t>Jeudi</t>
        </is>
      </c>
      <c r="J9" s="10" t="n"/>
      <c r="K9" s="10" t="inlineStr">
        <is>
          <t>Vendredi</t>
        </is>
      </c>
      <c r="L9" s="10" t="n"/>
      <c r="M9" s="10" t="inlineStr">
        <is>
          <t>Samedi</t>
        </is>
      </c>
      <c r="N9" s="10" t="n"/>
      <c r="O9" s="10" t="inlineStr">
        <is>
          <t>Dimanche</t>
        </is>
      </c>
      <c r="P9" s="10" t="n"/>
      <c r="Q9" s="10" t="inlineStr">
        <is>
          <t>Heures de la semaine</t>
        </is>
      </c>
    </row>
    <row r="10" ht="18" customHeight="1">
      <c r="A10" s="9" t="n"/>
      <c r="B10" s="9" t="n"/>
      <c r="C10" s="10" t="inlineStr">
        <is>
          <t>Début</t>
        </is>
      </c>
      <c r="D10" s="10" t="inlineStr">
        <is>
          <t>Fin</t>
        </is>
      </c>
      <c r="E10" s="10" t="inlineStr">
        <is>
          <t>Début</t>
        </is>
      </c>
      <c r="F10" s="10" t="inlineStr">
        <is>
          <t>Fin</t>
        </is>
      </c>
      <c r="G10" s="10" t="inlineStr">
        <is>
          <t>Début</t>
        </is>
      </c>
      <c r="H10" s="10" t="inlineStr">
        <is>
          <t>Fin</t>
        </is>
      </c>
      <c r="I10" s="10" t="inlineStr">
        <is>
          <t>Début</t>
        </is>
      </c>
      <c r="J10" s="10" t="inlineStr">
        <is>
          <t>Fin</t>
        </is>
      </c>
      <c r="K10" s="10" t="inlineStr">
        <is>
          <t>Début</t>
        </is>
      </c>
      <c r="L10" s="10" t="inlineStr">
        <is>
          <t>Fin</t>
        </is>
      </c>
      <c r="M10" s="10" t="inlineStr">
        <is>
          <t>Début</t>
        </is>
      </c>
      <c r="N10" s="10" t="inlineStr">
        <is>
          <t>Fin</t>
        </is>
      </c>
      <c r="O10" s="10" t="inlineStr">
        <is>
          <t>Début</t>
        </is>
      </c>
      <c r="P10" s="10" t="inlineStr">
        <is>
          <t>Fin</t>
        </is>
      </c>
      <c r="Q10" s="10" t="n"/>
    </row>
    <row r="11" ht="20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3">
        <f>IF(OR(C11="",D11=""),0,MOD(D11-C11,1)*24)+IF(OR(E11="",F11=""),0,MOD(F11-E11,1)*24)+IF(OR(G11="",H11=""),0,MOD(H11-G11,1)*24)+IF(OR(I11="",J11=""),0,MOD(J11-I11,1)*24)+IF(OR(K11="",L11=""),0,MOD(L11-K11,1)*24)+IF(OR(M11="",N11=""),0,MOD(N11-M11,1)*24)+IF(OR(O11="",P11=""),0,MOD(P11-O11,1)*24)</f>
        <v/>
      </c>
    </row>
    <row r="12" ht="20" customHeight="1">
      <c r="A12" s="11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3">
        <f>IF(OR(C12="",D12=""),0,MOD(D12-C12,1)*24)+IF(OR(E12="",F12=""),0,MOD(F12-E12,1)*24)+IF(OR(G12="",H12=""),0,MOD(H12-G12,1)*24)+IF(OR(I12="",J12=""),0,MOD(J12-I12,1)*24)+IF(OR(K12="",L12=""),0,MOD(L12-K12,1)*24)+IF(OR(M12="",N12=""),0,MOD(N12-M12,1)*24)+IF(OR(O12="",P12=""),0,MOD(P12-O12,1)*24)</f>
        <v/>
      </c>
    </row>
    <row r="13" ht="20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3">
        <f>IF(OR(C13="",D13=""),0,MOD(D13-C13,1)*24)+IF(OR(E13="",F13=""),0,MOD(F13-E13,1)*24)+IF(OR(G13="",H13=""),0,MOD(H13-G13,1)*24)+IF(OR(I13="",J13=""),0,MOD(J13-I13,1)*24)+IF(OR(K13="",L13=""),0,MOD(L13-K13,1)*24)+IF(OR(M13="",N13=""),0,MOD(N13-M13,1)*24)+IF(OR(O13="",P13=""),0,MOD(P13-O13,1)*24)</f>
        <v/>
      </c>
    </row>
    <row r="14" ht="20" customHeight="1">
      <c r="A14" s="11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3">
        <f>IF(OR(C14="",D14=""),0,MOD(D14-C14,1)*24)+IF(OR(E14="",F14=""),0,MOD(F14-E14,1)*24)+IF(OR(G14="",H14=""),0,MOD(H14-G14,1)*24)+IF(OR(I14="",J14=""),0,MOD(J14-I14,1)*24)+IF(OR(K14="",L14=""),0,MOD(L14-K14,1)*24)+IF(OR(M14="",N14=""),0,MOD(N14-M14,1)*24)+IF(OR(O14="",P14=""),0,MOD(P14-O14,1)*24)</f>
        <v/>
      </c>
    </row>
    <row r="15" ht="20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3">
        <f>IF(OR(C15="",D15=""),0,MOD(D15-C15,1)*24)+IF(OR(E15="",F15=""),0,MOD(F15-E15,1)*24)+IF(OR(G15="",H15=""),0,MOD(H15-G15,1)*24)+IF(OR(I15="",J15=""),0,MOD(J15-I15,1)*24)+IF(OR(K15="",L15=""),0,MOD(L15-K15,1)*24)+IF(OR(M15="",N15=""),0,MOD(N15-M15,1)*24)+IF(OR(O15="",P15=""),0,MOD(P15-O15,1)*24)</f>
        <v/>
      </c>
    </row>
    <row r="16" ht="20" customHeight="1">
      <c r="A16" s="11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3">
        <f>IF(OR(C16="",D16=""),0,MOD(D16-C16,1)*24)+IF(OR(E16="",F16=""),0,MOD(F16-E16,1)*24)+IF(OR(G16="",H16=""),0,MOD(H16-G16,1)*24)+IF(OR(I16="",J16=""),0,MOD(J16-I16,1)*24)+IF(OR(K16="",L16=""),0,MOD(L16-K16,1)*24)+IF(OR(M16="",N16=""),0,MOD(N16-M16,1)*24)+IF(OR(O16="",P16=""),0,MOD(P16-O16,1)*24)</f>
        <v/>
      </c>
    </row>
    <row r="17" ht="20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3">
        <f>IF(OR(C17="",D17=""),0,MOD(D17-C17,1)*24)+IF(OR(E17="",F17=""),0,MOD(F17-E17,1)*24)+IF(OR(G17="",H17=""),0,MOD(H17-G17,1)*24)+IF(OR(I17="",J17=""),0,MOD(J17-I17,1)*24)+IF(OR(K17="",L17=""),0,MOD(L17-K17,1)*24)+IF(OR(M17="",N17=""),0,MOD(N17-M17,1)*24)+IF(OR(O17="",P17=""),0,MOD(P17-O17,1)*24)</f>
        <v/>
      </c>
    </row>
    <row r="18" ht="20" customHeight="1">
      <c r="A18" s="11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3">
        <f>IF(OR(C18="",D18=""),0,MOD(D18-C18,1)*24)+IF(OR(E18="",F18=""),0,MOD(F18-E18,1)*24)+IF(OR(G18="",H18=""),0,MOD(H18-G18,1)*24)+IF(OR(I18="",J18=""),0,MOD(J18-I18,1)*24)+IF(OR(K18="",L18=""),0,MOD(L18-K18,1)*24)+IF(OR(M18="",N18=""),0,MOD(N18-M18,1)*24)+IF(OR(O18="",P18=""),0,MOD(P18-O18,1)*24)</f>
        <v/>
      </c>
    </row>
    <row r="19" ht="20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3">
        <f>IF(OR(C19="",D19=""),0,MOD(D19-C19,1)*24)+IF(OR(E19="",F19=""),0,MOD(F19-E19,1)*24)+IF(OR(G19="",H19=""),0,MOD(H19-G19,1)*24)+IF(OR(I19="",J19=""),0,MOD(J19-I19,1)*24)+IF(OR(K19="",L19=""),0,MOD(L19-K19,1)*24)+IF(OR(M19="",N19=""),0,MOD(N19-M19,1)*24)+IF(OR(O19="",P19=""),0,MOD(P19-O19,1)*24)</f>
        <v/>
      </c>
    </row>
    <row r="20" ht="20" customHeight="1">
      <c r="A20" s="11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3">
        <f>IF(OR(C20="",D20=""),0,MOD(D20-C20,1)*24)+IF(OR(E20="",F20=""),0,MOD(F20-E20,1)*24)+IF(OR(G20="",H20=""),0,MOD(H20-G20,1)*24)+IF(OR(I20="",J20=""),0,MOD(J20-I20,1)*24)+IF(OR(K20="",L20=""),0,MOD(L20-K20,1)*24)+IF(OR(M20="",N20=""),0,MOD(N20-M20,1)*24)+IF(OR(O20="",P20=""),0,MOD(P20-O20,1)*24)</f>
        <v/>
      </c>
    </row>
    <row r="21" ht="20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3">
        <f>IF(OR(C21="",D21=""),0,MOD(D21-C21,1)*24)+IF(OR(E21="",F21=""),0,MOD(F21-E21,1)*24)+IF(OR(G21="",H21=""),0,MOD(H21-G21,1)*24)+IF(OR(I21="",J21=""),0,MOD(J21-I21,1)*24)+IF(OR(K21="",L21=""),0,MOD(L21-K21,1)*24)+IF(OR(M21="",N21=""),0,MOD(N21-M21,1)*24)+IF(OR(O21="",P21=""),0,MOD(P21-O21,1)*24)</f>
        <v/>
      </c>
    </row>
    <row r="22" ht="20" customHeight="1">
      <c r="A22" s="11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3">
        <f>IF(OR(C22="",D22=""),0,MOD(D22-C22,1)*24)+IF(OR(E22="",F22=""),0,MOD(F22-E22,1)*24)+IF(OR(G22="",H22=""),0,MOD(H22-G22,1)*24)+IF(OR(I22="",J22=""),0,MOD(J22-I22,1)*24)+IF(OR(K22="",L22=""),0,MOD(L22-K22,1)*24)+IF(OR(M22="",N22=""),0,MOD(N22-M22,1)*24)+IF(OR(O22="",P22=""),0,MOD(P22-O22,1)*24)</f>
        <v/>
      </c>
    </row>
    <row r="23" ht="20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3">
        <f>IF(OR(C23="",D23=""),0,MOD(D23-C23,1)*24)+IF(OR(E23="",F23=""),0,MOD(F23-E23,1)*24)+IF(OR(G23="",H23=""),0,MOD(H23-G23,1)*24)+IF(OR(I23="",J23=""),0,MOD(J23-I23,1)*24)+IF(OR(K23="",L23=""),0,MOD(L23-K23,1)*24)+IF(OR(M23="",N23=""),0,MOD(N23-M23,1)*24)+IF(OR(O23="",P23=""),0,MOD(P23-O23,1)*24)</f>
        <v/>
      </c>
    </row>
    <row r="24" ht="20" customHeight="1">
      <c r="A24" s="11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3">
        <f>IF(OR(C24="",D24=""),0,MOD(D24-C24,1)*24)+IF(OR(E24="",F24=""),0,MOD(F24-E24,1)*24)+IF(OR(G24="",H24=""),0,MOD(H24-G24,1)*24)+IF(OR(I24="",J24=""),0,MOD(J24-I24,1)*24)+IF(OR(K24="",L24=""),0,MOD(L24-K24,1)*24)+IF(OR(M24="",N24=""),0,MOD(N24-M24,1)*24)+IF(OR(O24="",P24=""),0,MOD(P24-O24,1)*24)</f>
        <v/>
      </c>
    </row>
    <row r="25" ht="20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3">
        <f>IF(OR(C25="",D25=""),0,MOD(D25-C25,1)*24)+IF(OR(E25="",F25=""),0,MOD(F25-E25,1)*24)+IF(OR(G25="",H25=""),0,MOD(H25-G25,1)*24)+IF(OR(I25="",J25=""),0,MOD(J25-I25,1)*24)+IF(OR(K25="",L25=""),0,MOD(L25-K25,1)*24)+IF(OR(M25="",N25=""),0,MOD(N25-M25,1)*24)+IF(OR(O25="",P25=""),0,MOD(P25-O25,1)*24)</f>
        <v/>
      </c>
    </row>
    <row r="26" ht="20" customHeight="1">
      <c r="A26" s="11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3">
        <f>IF(OR(C26="",D26=""),0,MOD(D26-C26,1)*24)+IF(OR(E26="",F26=""),0,MOD(F26-E26,1)*24)+IF(OR(G26="",H26=""),0,MOD(H26-G26,1)*24)+IF(OR(I26="",J26=""),0,MOD(J26-I26,1)*24)+IF(OR(K26="",L26=""),0,MOD(L26-K26,1)*24)+IF(OR(M26="",N26=""),0,MOD(N26-M26,1)*24)+IF(OR(O26="",P26=""),0,MOD(P26-O26,1)*24)</f>
        <v/>
      </c>
    </row>
    <row r="27">
      <c r="A27" s="14" t="inlineStr">
        <is>
          <t>Total des heures planifiées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6">
        <f>SUM(Q11:Q26)</f>
        <v/>
      </c>
    </row>
    <row r="28" ht="16" customHeight="1">
      <c r="A28" s="17" t="inlineStr">
        <is>
          <t>Un passage de nuit (22:00 → 06:00) est compté juste. Deux passages le même jour sur le même site : une ligne de plus.</t>
        </is>
      </c>
    </row>
    <row r="30" ht="18" customHeight="1">
      <c r="A30" s="6" t="inlineStr">
        <is>
          <t>TOTAL D'HEURES PAR AGENT</t>
        </is>
      </c>
      <c r="J30" s="6" t="inlineStr">
        <is>
          <t>TOTAL D'HEURES PAR SITE</t>
        </is>
      </c>
    </row>
    <row r="31" ht="28" customHeight="1">
      <c r="A31" s="18" t="inlineStr">
        <is>
          <t>Agent (écrit comme dans le planning)</t>
        </is>
      </c>
      <c r="B31" s="10" t="inlineStr">
        <is>
          <t>Heures de la semaine</t>
        </is>
      </c>
      <c r="C31" s="19" t="inlineStr">
        <is>
          <t>Repère 16 h (convention de la propreté)</t>
        </is>
      </c>
      <c r="D31" s="15" t="n"/>
      <c r="E31" s="15" t="n"/>
      <c r="F31" s="15" t="n"/>
      <c r="G31" s="15" t="n"/>
      <c r="H31" s="15" t="n"/>
      <c r="J31" s="19" t="inlineStr">
        <is>
          <t>Site client (écrit comme dans le planning)</t>
        </is>
      </c>
      <c r="K31" s="15" t="n"/>
      <c r="L31" s="15" t="n"/>
      <c r="M31" s="15" t="n"/>
      <c r="N31" s="15" t="n"/>
      <c r="O31" s="20" t="inlineStr">
        <is>
          <t>Heures de la semaine</t>
        </is>
      </c>
      <c r="P31" s="15" t="n"/>
      <c r="Q31" s="15" t="n"/>
    </row>
    <row r="32" ht="20" customHeight="1">
      <c r="A32" s="11" t="n"/>
      <c r="B32" s="21">
        <f>IF(A32="","",SUMIF($B$11:$B$26,A32,$Q$11:$Q$26))</f>
        <v/>
      </c>
      <c r="C32" s="22">
        <f>IF(OR(A32="",B32=""),"",IF(B32&lt;16,"Moins de 16 h : vérifier le contrat de l'agent",""))</f>
        <v/>
      </c>
      <c r="D32" s="23" t="n"/>
      <c r="E32" s="23" t="n"/>
      <c r="F32" s="23" t="n"/>
      <c r="G32" s="23" t="n"/>
      <c r="H32" s="23" t="n"/>
      <c r="J32" s="11" t="n"/>
      <c r="K32" s="23" t="n"/>
      <c r="L32" s="23" t="n"/>
      <c r="M32" s="23" t="n"/>
      <c r="N32" s="23" t="n"/>
      <c r="O32" s="21">
        <f>IF(J32="","",SUMIF($A$11:$A$26,J32,$Q$11:$Q$26))</f>
        <v/>
      </c>
      <c r="P32" s="23" t="n"/>
      <c r="Q32" s="23" t="n"/>
    </row>
    <row r="33" ht="20" customHeight="1">
      <c r="A33" s="11" t="n"/>
      <c r="B33" s="21">
        <f>IF(A33="","",SUMIF($B$11:$B$26,A33,$Q$11:$Q$26))</f>
        <v/>
      </c>
      <c r="C33" s="22">
        <f>IF(OR(A33="",B33=""),"",IF(B33&lt;16,"Moins de 16 h : vérifier le contrat de l'agent",""))</f>
        <v/>
      </c>
      <c r="D33" s="23" t="n"/>
      <c r="E33" s="23" t="n"/>
      <c r="F33" s="23" t="n"/>
      <c r="G33" s="23" t="n"/>
      <c r="H33" s="23" t="n"/>
      <c r="J33" s="11" t="n"/>
      <c r="K33" s="23" t="n"/>
      <c r="L33" s="23" t="n"/>
      <c r="M33" s="23" t="n"/>
      <c r="N33" s="23" t="n"/>
      <c r="O33" s="21">
        <f>IF(J33="","",SUMIF($A$11:$A$26,J33,$Q$11:$Q$26))</f>
        <v/>
      </c>
      <c r="P33" s="23" t="n"/>
      <c r="Q33" s="23" t="n"/>
    </row>
    <row r="34" ht="20" customHeight="1">
      <c r="A34" s="11" t="n"/>
      <c r="B34" s="21">
        <f>IF(A34="","",SUMIF($B$11:$B$26,A34,$Q$11:$Q$26))</f>
        <v/>
      </c>
      <c r="C34" s="22">
        <f>IF(OR(A34="",B34=""),"",IF(B34&lt;16,"Moins de 16 h : vérifier le contrat de l'agent",""))</f>
        <v/>
      </c>
      <c r="D34" s="23" t="n"/>
      <c r="E34" s="23" t="n"/>
      <c r="F34" s="23" t="n"/>
      <c r="G34" s="23" t="n"/>
      <c r="H34" s="23" t="n"/>
      <c r="J34" s="11" t="n"/>
      <c r="K34" s="23" t="n"/>
      <c r="L34" s="23" t="n"/>
      <c r="M34" s="23" t="n"/>
      <c r="N34" s="23" t="n"/>
      <c r="O34" s="21">
        <f>IF(J34="","",SUMIF($A$11:$A$26,J34,$Q$11:$Q$26))</f>
        <v/>
      </c>
      <c r="P34" s="23" t="n"/>
      <c r="Q34" s="23" t="n"/>
    </row>
    <row r="35" ht="20" customHeight="1">
      <c r="A35" s="11" t="n"/>
      <c r="B35" s="21">
        <f>IF(A35="","",SUMIF($B$11:$B$26,A35,$Q$11:$Q$26))</f>
        <v/>
      </c>
      <c r="C35" s="22">
        <f>IF(OR(A35="",B35=""),"",IF(B35&lt;16,"Moins de 16 h : vérifier le contrat de l'agent",""))</f>
        <v/>
      </c>
      <c r="D35" s="23" t="n"/>
      <c r="E35" s="23" t="n"/>
      <c r="F35" s="23" t="n"/>
      <c r="G35" s="23" t="n"/>
      <c r="H35" s="23" t="n"/>
      <c r="J35" s="11" t="n"/>
      <c r="K35" s="23" t="n"/>
      <c r="L35" s="23" t="n"/>
      <c r="M35" s="23" t="n"/>
      <c r="N35" s="23" t="n"/>
      <c r="O35" s="21">
        <f>IF(J35="","",SUMIF($A$11:$A$26,J35,$Q$11:$Q$26))</f>
        <v/>
      </c>
      <c r="P35" s="23" t="n"/>
      <c r="Q35" s="23" t="n"/>
    </row>
    <row r="36" ht="20" customHeight="1">
      <c r="A36" s="11" t="n"/>
      <c r="B36" s="21">
        <f>IF(A36="","",SUMIF($B$11:$B$26,A36,$Q$11:$Q$26))</f>
        <v/>
      </c>
      <c r="C36" s="22">
        <f>IF(OR(A36="",B36=""),"",IF(B36&lt;16,"Moins de 16 h : vérifier le contrat de l'agent",""))</f>
        <v/>
      </c>
      <c r="D36" s="23" t="n"/>
      <c r="E36" s="23" t="n"/>
      <c r="F36" s="23" t="n"/>
      <c r="G36" s="23" t="n"/>
      <c r="H36" s="23" t="n"/>
      <c r="J36" s="11" t="n"/>
      <c r="K36" s="23" t="n"/>
      <c r="L36" s="23" t="n"/>
      <c r="M36" s="23" t="n"/>
      <c r="N36" s="23" t="n"/>
      <c r="O36" s="21">
        <f>IF(J36="","",SUMIF($A$11:$A$26,J36,$Q$11:$Q$26))</f>
        <v/>
      </c>
      <c r="P36" s="23" t="n"/>
      <c r="Q36" s="23" t="n"/>
    </row>
    <row r="37" ht="20" customHeight="1">
      <c r="A37" s="11" t="n"/>
      <c r="B37" s="21">
        <f>IF(A37="","",SUMIF($B$11:$B$26,A37,$Q$11:$Q$26))</f>
        <v/>
      </c>
      <c r="C37" s="22">
        <f>IF(OR(A37="",B37=""),"",IF(B37&lt;16,"Moins de 16 h : vérifier le contrat de l'agent",""))</f>
        <v/>
      </c>
      <c r="D37" s="23" t="n"/>
      <c r="E37" s="23" t="n"/>
      <c r="F37" s="23" t="n"/>
      <c r="G37" s="23" t="n"/>
      <c r="H37" s="23" t="n"/>
      <c r="J37" s="11" t="n"/>
      <c r="K37" s="23" t="n"/>
      <c r="L37" s="23" t="n"/>
      <c r="M37" s="23" t="n"/>
      <c r="N37" s="23" t="n"/>
      <c r="O37" s="21">
        <f>IF(J37="","",SUMIF($A$11:$A$26,J37,$Q$11:$Q$26))</f>
        <v/>
      </c>
      <c r="P37" s="23" t="n"/>
      <c r="Q37" s="23" t="n"/>
    </row>
    <row r="38" ht="20" customHeight="1">
      <c r="A38" s="11" t="n"/>
      <c r="B38" s="21">
        <f>IF(A38="","",SUMIF($B$11:$B$26,A38,$Q$11:$Q$26))</f>
        <v/>
      </c>
      <c r="C38" s="22">
        <f>IF(OR(A38="",B38=""),"",IF(B38&lt;16,"Moins de 16 h : vérifier le contrat de l'agent",""))</f>
        <v/>
      </c>
      <c r="D38" s="23" t="n"/>
      <c r="E38" s="23" t="n"/>
      <c r="F38" s="23" t="n"/>
      <c r="G38" s="23" t="n"/>
      <c r="H38" s="23" t="n"/>
      <c r="J38" s="11" t="n"/>
      <c r="K38" s="23" t="n"/>
      <c r="L38" s="23" t="n"/>
      <c r="M38" s="23" t="n"/>
      <c r="N38" s="23" t="n"/>
      <c r="O38" s="21">
        <f>IF(J38="","",SUMIF($A$11:$A$26,J38,$Q$11:$Q$26))</f>
        <v/>
      </c>
      <c r="P38" s="23" t="n"/>
      <c r="Q38" s="23" t="n"/>
    </row>
    <row r="39" ht="20" customHeight="1">
      <c r="A39" s="11" t="n"/>
      <c r="B39" s="21">
        <f>IF(A39="","",SUMIF($B$11:$B$26,A39,$Q$11:$Q$26))</f>
        <v/>
      </c>
      <c r="C39" s="22">
        <f>IF(OR(A39="",B39=""),"",IF(B39&lt;16,"Moins de 16 h : vérifier le contrat de l'agent",""))</f>
        <v/>
      </c>
      <c r="D39" s="23" t="n"/>
      <c r="E39" s="23" t="n"/>
      <c r="F39" s="23" t="n"/>
      <c r="G39" s="23" t="n"/>
      <c r="H39" s="23" t="n"/>
      <c r="J39" s="11" t="n"/>
      <c r="K39" s="23" t="n"/>
      <c r="L39" s="23" t="n"/>
      <c r="M39" s="23" t="n"/>
      <c r="N39" s="23" t="n"/>
      <c r="O39" s="21">
        <f>IF(J39="","",SUMIF($A$11:$A$26,J39,$Q$11:$Q$26))</f>
        <v/>
      </c>
      <c r="P39" s="23" t="n"/>
      <c r="Q39" s="23" t="n"/>
    </row>
    <row r="41" ht="18" customHeight="1">
      <c r="A41" s="6" t="inlineStr">
        <is>
          <t>CONSIGNES PAR SITE (CLÉS, ALARME, ACCÈS, PRODUITS)</t>
        </is>
      </c>
    </row>
    <row r="42">
      <c r="A42" s="24" t="inlineStr">
        <is>
          <t>Clés et badges, code d'alarme, accès, horaires d'ouverture, produits et matériel sur place, contact du client…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</row>
    <row r="46">
      <c r="A46" s="3" t="inlineStr">
        <is>
          <t>Visa du responsable (planning validé)</t>
        </is>
      </c>
      <c r="I46" s="3" t="inlineStr">
        <is>
          <t>Planning remis aux agents le</t>
        </is>
      </c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1" ht="34" customHeight="1">
      <c r="A51" s="17" t="inlineStr">
        <is>
          <t>Repère de la convention collective des entreprises de propreté (IDCC 3043, art. 6.2.4.1) : un contrat à temps partiel compte au moins 16 heures par semaine, sauf demande écrite du salarié. La colonne « Repère 16 h » signale un total plus bas : comparez-le à la durée prévue au contrat de l'agent.</t>
        </is>
      </c>
    </row>
    <row r="52">
      <c r="A52" s="26" t="inlineStr">
        <is>
          <t>Modèle proposé par Dibodev, développeur de logiciels métier — dibodev.fr — Feuille 1/2 — à adapter à votre entreprise</t>
        </is>
      </c>
    </row>
  </sheetData>
  <mergeCells count="53">
    <mergeCell ref="I47:Q49"/>
    <mergeCell ref="O32:Q32"/>
    <mergeCell ref="O35:Q35"/>
    <mergeCell ref="J38:N38"/>
    <mergeCell ref="C31:H31"/>
    <mergeCell ref="K9:L9"/>
    <mergeCell ref="M9:N9"/>
    <mergeCell ref="O31:Q31"/>
    <mergeCell ref="N6:Q6"/>
    <mergeCell ref="O9:P9"/>
    <mergeCell ref="J37:N37"/>
    <mergeCell ref="A51:Q51"/>
    <mergeCell ref="M1:Q1"/>
    <mergeCell ref="J34:N34"/>
    <mergeCell ref="M2:Q2"/>
    <mergeCell ref="C36:H36"/>
    <mergeCell ref="Q9:Q10"/>
    <mergeCell ref="C6:F6"/>
    <mergeCell ref="C39:H39"/>
    <mergeCell ref="J36:N36"/>
    <mergeCell ref="C9:D9"/>
    <mergeCell ref="A46:H46"/>
    <mergeCell ref="E9:F9"/>
    <mergeCell ref="J35:N35"/>
    <mergeCell ref="B9:B10"/>
    <mergeCell ref="C32:H32"/>
    <mergeCell ref="C38:H38"/>
    <mergeCell ref="O38:Q38"/>
    <mergeCell ref="K6:M6"/>
    <mergeCell ref="C37:H37"/>
    <mergeCell ref="J32:N32"/>
    <mergeCell ref="O37:Q37"/>
    <mergeCell ref="C34:H34"/>
    <mergeCell ref="M3:Q3"/>
    <mergeCell ref="J31:N31"/>
    <mergeCell ref="O34:Q34"/>
    <mergeCell ref="A42:Q44"/>
    <mergeCell ref="C33:H33"/>
    <mergeCell ref="G6:J6"/>
    <mergeCell ref="I46:Q46"/>
    <mergeCell ref="O33:Q33"/>
    <mergeCell ref="A9:A10"/>
    <mergeCell ref="A27:P27"/>
    <mergeCell ref="A47:H49"/>
    <mergeCell ref="O36:Q36"/>
    <mergeCell ref="A52:Q52"/>
    <mergeCell ref="C35:H35"/>
    <mergeCell ref="A28:Q28"/>
    <mergeCell ref="J33:N33"/>
    <mergeCell ref="O39:Q39"/>
    <mergeCell ref="G9:H9"/>
    <mergeCell ref="I9:J9"/>
    <mergeCell ref="J39:N39"/>
  </mergeCells>
  <printOptions horizontalCentered="1"/>
  <pageMargins left="0.5" right="0.5" top="0.6" bottom="0.6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0" customWidth="1" min="3" max="3"/>
    <col width="11" customWidth="1" min="4" max="4"/>
    <col width="10" customWidth="1" min="5" max="5"/>
    <col width="30" customWidth="1" min="6" max="6"/>
  </cols>
  <sheetData>
    <row r="1" ht="26" customHeight="1">
      <c r="A1" s="1" t="inlineStr">
        <is>
          <t>Fiche de contrôle qualité</t>
        </is>
      </c>
      <c r="E1" s="2" t="inlineStr">
        <is>
          <t>Entreprise (nom, adresse, téléphone)</t>
        </is>
      </c>
    </row>
    <row r="2">
      <c r="A2" s="3" t="inlineStr">
        <is>
          <t>Un site, zone par zone : note, photos et actions correctives, signée avec le client</t>
        </is>
      </c>
      <c r="E2" s="4" t="n"/>
      <c r="F2" s="5" t="n"/>
    </row>
    <row r="3">
      <c r="E3" s="4" t="n"/>
      <c r="F3" s="5" t="n"/>
    </row>
    <row r="5" ht="18" customHeight="1">
      <c r="A5" s="6" t="inlineStr">
        <is>
          <t>CONTRÔLE</t>
        </is>
      </c>
    </row>
    <row r="6" ht="20" customHeight="1">
      <c r="A6" s="7" t="inlineStr">
        <is>
          <t>Site client</t>
        </is>
      </c>
      <c r="B6" s="4" t="n"/>
      <c r="C6" s="7" t="inlineStr">
        <is>
          <t>Date et heure du contrôle</t>
        </is>
      </c>
      <c r="E6" s="4" t="n"/>
      <c r="F6" s="5" t="n"/>
    </row>
    <row r="7" ht="20" customHeight="1">
      <c r="A7" s="7" t="inlineStr">
        <is>
          <t>Adresse du site</t>
        </is>
      </c>
      <c r="B7" s="4" t="n"/>
      <c r="C7" s="7" t="inlineStr">
        <is>
          <t>Contrôleur</t>
        </is>
      </c>
      <c r="E7" s="4" t="n"/>
      <c r="F7" s="5" t="n"/>
    </row>
    <row r="8" ht="20" customHeight="1">
      <c r="A8" s="7" t="inlineStr">
        <is>
          <t>Contact client, fonction</t>
        </is>
      </c>
      <c r="B8" s="4" t="n"/>
      <c r="C8" s="7" t="inlineStr">
        <is>
          <t>Agent(s) du site</t>
        </is>
      </c>
      <c r="E8" s="4" t="n"/>
      <c r="F8" s="5" t="n"/>
    </row>
    <row r="9" ht="20" customHeight="1">
      <c r="A9" s="7" t="inlineStr">
        <is>
          <t>Contrat, fréquence de passage</t>
        </is>
      </c>
      <c r="B9" s="4" t="n"/>
      <c r="C9" s="7" t="inlineStr">
        <is>
          <t>Type de contrôle</t>
        </is>
      </c>
      <c r="E9" s="4" t="n"/>
      <c r="F9" s="5" t="n"/>
    </row>
    <row r="11" ht="18" customHeight="1">
      <c r="A11" s="6" t="inlineStr">
        <is>
          <t>BARÈME</t>
        </is>
      </c>
    </row>
    <row r="12" ht="26" customHeight="1">
      <c r="A12" s="27" t="inlineStr">
        <is>
          <t>Note minimale pour qu'une zone soit conforme (modifiable)</t>
        </is>
      </c>
      <c r="C12" s="28" t="n">
        <v>3</v>
      </c>
      <c r="D12" s="29" t="inlineStr">
        <is>
          <t>1 très insuffisant · 2 insuffisant · 3 satisfaisant · 4 très satisfaisant</t>
        </is>
      </c>
    </row>
    <row r="14" ht="18" customHeight="1">
      <c r="A14" s="6" t="inlineStr">
        <is>
          <t>CONTRÔLE ZONE PAR ZONE</t>
        </is>
      </c>
    </row>
    <row r="15" ht="28" customHeight="1">
      <c r="A15" s="9" t="inlineStr">
        <is>
          <t>Zone</t>
        </is>
      </c>
      <c r="B15" s="9" t="inlineStr">
        <is>
          <t>Points contrôlés</t>
        </is>
      </c>
      <c r="C15" s="10" t="inlineStr">
        <is>
          <t>Note (1 à 4)</t>
        </is>
      </c>
      <c r="D15" s="10" t="inlineStr">
        <is>
          <t>Conforme</t>
        </is>
      </c>
      <c r="E15" s="10" t="inlineStr">
        <is>
          <t>Photo n°</t>
        </is>
      </c>
      <c r="F15" s="9" t="inlineStr">
        <is>
          <t>Action corrective</t>
        </is>
      </c>
    </row>
    <row r="16" ht="22" customHeight="1">
      <c r="A16" s="30" t="inlineStr">
        <is>
          <t>Accueil, hall d'entrée</t>
        </is>
      </c>
      <c r="B16" s="31" t="inlineStr">
        <is>
          <t>Sols, comptoir, vitres d'entrée, poubelles</t>
        </is>
      </c>
      <c r="C16" s="32" t="n"/>
      <c r="D16" s="32">
        <f>IF(C16="","",IF(C16&gt;=$C$12,"Oui","Non"))</f>
        <v/>
      </c>
      <c r="E16" s="33" t="n"/>
      <c r="F16" s="34" t="n"/>
    </row>
    <row r="17" ht="22" customHeight="1">
      <c r="A17" s="30" t="inlineStr">
        <is>
          <t>Bureaux</t>
        </is>
      </c>
      <c r="B17" s="31" t="inlineStr">
        <is>
          <t>Sols, plans de travail dégagés, poubelles, traces</t>
        </is>
      </c>
      <c r="C17" s="32" t="n"/>
      <c r="D17" s="32">
        <f>IF(C17="","",IF(C17&gt;=$C$12,"Oui","Non"))</f>
        <v/>
      </c>
      <c r="E17" s="33" t="n"/>
      <c r="F17" s="34" t="n"/>
    </row>
    <row r="18" ht="22" customHeight="1">
      <c r="A18" s="30" t="inlineStr">
        <is>
          <t>Salles de réunion</t>
        </is>
      </c>
      <c r="B18" s="31" t="inlineStr">
        <is>
          <t>Tables, sièges, sols, poubelles</t>
        </is>
      </c>
      <c r="C18" s="32" t="n"/>
      <c r="D18" s="32">
        <f>IF(C18="","",IF(C18&gt;=$C$12,"Oui","Non"))</f>
        <v/>
      </c>
      <c r="E18" s="33" t="n"/>
      <c r="F18" s="34" t="n"/>
    </row>
    <row r="19" ht="22" customHeight="1">
      <c r="A19" s="30" t="inlineStr">
        <is>
          <t>Sanitaires</t>
        </is>
      </c>
      <c r="B19" s="31" t="inlineStr">
        <is>
          <t>Cuvettes, lavabos, miroirs, sols, consommables</t>
        </is>
      </c>
      <c r="C19" s="32" t="n"/>
      <c r="D19" s="32">
        <f>IF(C19="","",IF(C19&gt;=$C$12,"Oui","Non"))</f>
        <v/>
      </c>
      <c r="E19" s="33" t="n"/>
      <c r="F19" s="34" t="n"/>
    </row>
    <row r="20" ht="22" customHeight="1">
      <c r="A20" s="30" t="inlineStr">
        <is>
          <t>Cuisine, espace de pause</t>
        </is>
      </c>
      <c r="B20" s="31" t="inlineStr">
        <is>
          <t>Plan de travail, évier, extérieur des appareils, sols</t>
        </is>
      </c>
      <c r="C20" s="32" t="n"/>
      <c r="D20" s="32">
        <f>IF(C20="","",IF(C20&gt;=$C$12,"Oui","Non"))</f>
        <v/>
      </c>
      <c r="E20" s="33" t="n"/>
      <c r="F20" s="34" t="n"/>
    </row>
    <row r="21" ht="22" customHeight="1">
      <c r="A21" s="30" t="inlineStr">
        <is>
          <t>Circulations, escaliers</t>
        </is>
      </c>
      <c r="B21" s="31" t="inlineStr">
        <is>
          <t>Sols, rampes, plinthes, portes</t>
        </is>
      </c>
      <c r="C21" s="32" t="n"/>
      <c r="D21" s="32">
        <f>IF(C21="","",IF(C21&gt;=$C$12,"Oui","Non"))</f>
        <v/>
      </c>
      <c r="E21" s="33" t="n"/>
      <c r="F21" s="34" t="n"/>
    </row>
    <row r="22" ht="22" customHeight="1">
      <c r="A22" s="30" t="inlineStr">
        <is>
          <t>Ascenseur</t>
        </is>
      </c>
      <c r="B22" s="31" t="inlineStr">
        <is>
          <t>Sol, parois, miroir, boutons</t>
        </is>
      </c>
      <c r="C22" s="32" t="n"/>
      <c r="D22" s="32">
        <f>IF(C22="","",IF(C22&gt;=$C$12,"Oui","Non"))</f>
        <v/>
      </c>
      <c r="E22" s="33" t="n"/>
      <c r="F22" s="34" t="n"/>
    </row>
    <row r="23" ht="22" customHeight="1">
      <c r="A23" s="30" t="inlineStr">
        <is>
          <t>Vitres et miroirs</t>
        </is>
      </c>
      <c r="B23" s="31" t="inlineStr">
        <is>
          <t>Traces, encadrements (à hauteur d'homme)</t>
        </is>
      </c>
      <c r="C23" s="32" t="n"/>
      <c r="D23" s="32">
        <f>IF(C23="","",IF(C23&gt;=$C$12,"Oui","Non"))</f>
        <v/>
      </c>
      <c r="E23" s="33" t="n"/>
      <c r="F23" s="34" t="n"/>
    </row>
    <row r="24" ht="22" customHeight="1">
      <c r="A24" s="30" t="inlineStr">
        <is>
          <t>Poubelles et tri</t>
        </is>
      </c>
      <c r="B24" s="31" t="inlineStr">
        <is>
          <t>Vidage, sacs remplacés, tri respecté</t>
        </is>
      </c>
      <c r="C24" s="32" t="n"/>
      <c r="D24" s="32">
        <f>IF(C24="","",IF(C24&gt;=$C$12,"Oui","Non"))</f>
        <v/>
      </c>
      <c r="E24" s="33" t="n"/>
      <c r="F24" s="34" t="n"/>
    </row>
    <row r="25" ht="22" customHeight="1">
      <c r="A25" s="30" t="n"/>
      <c r="B25" s="31" t="n"/>
      <c r="C25" s="32" t="n"/>
      <c r="D25" s="32">
        <f>IF(C25="","",IF(C25&gt;=$C$12,"Oui","Non"))</f>
        <v/>
      </c>
      <c r="E25" s="33" t="n"/>
      <c r="F25" s="34" t="n"/>
    </row>
    <row r="26" ht="22" customHeight="1">
      <c r="A26" s="30" t="n"/>
      <c r="B26" s="31" t="n"/>
      <c r="C26" s="32" t="n"/>
      <c r="D26" s="32">
        <f>IF(C26="","",IF(C26&gt;=$C$12,"Oui","Non"))</f>
        <v/>
      </c>
      <c r="E26" s="33" t="n"/>
      <c r="F26" s="34" t="n"/>
    </row>
    <row r="27" ht="22" customHeight="1">
      <c r="A27" s="30" t="n"/>
      <c r="B27" s="31" t="n"/>
      <c r="C27" s="32" t="n"/>
      <c r="D27" s="32">
        <f>IF(C27="","",IF(C27&gt;=$C$12,"Oui","Non"))</f>
        <v/>
      </c>
      <c r="E27" s="33" t="n"/>
      <c r="F27" s="34" t="n"/>
    </row>
    <row r="29" ht="18" customHeight="1">
      <c r="A29" s="6" t="inlineStr">
        <is>
          <t>RÉSULTAT</t>
        </is>
      </c>
    </row>
    <row r="30" ht="20" customHeight="1">
      <c r="A30" s="14" t="inlineStr">
        <is>
          <t>Zones contrôlées</t>
        </is>
      </c>
      <c r="B30" s="35">
        <f>COUNT(C16:C27)</f>
        <v/>
      </c>
    </row>
    <row r="31" ht="20" customHeight="1">
      <c r="A31" s="14" t="inlineStr">
        <is>
          <t>Zones conformes</t>
        </is>
      </c>
      <c r="B31" s="35">
        <f>COUNTIF(C16:C27,"&gt;="&amp;$C$12)</f>
        <v/>
      </c>
    </row>
    <row r="32" ht="20" customHeight="1">
      <c r="A32" s="14" t="inlineStr">
        <is>
          <t>Taux de conformité</t>
        </is>
      </c>
      <c r="B32" s="36">
        <f>IF(B30=0,"",B31/B30)</f>
        <v/>
      </c>
      <c r="C32" s="3" t="inlineStr">
        <is>
          <t>Zones conformes ÷ zones contrôlées</t>
        </is>
      </c>
    </row>
    <row r="33" ht="20" customHeight="1">
      <c r="A33" s="14" t="inlineStr">
        <is>
          <t>Note moyenne (sur 4)</t>
        </is>
      </c>
      <c r="B33" s="37">
        <f>IF(B30=0,"",AVERAGE(C16:C27))</f>
        <v/>
      </c>
    </row>
    <row r="35" ht="18" customHeight="1">
      <c r="A35" s="6" t="inlineStr">
        <is>
          <t>ACTIONS CORRECTIVES ET DÉLAI</t>
        </is>
      </c>
    </row>
    <row r="36">
      <c r="A36" s="24" t="inlineStr"/>
      <c r="B36" s="23" t="n"/>
      <c r="C36" s="23" t="n"/>
      <c r="D36" s="23" t="n"/>
      <c r="E36" s="23" t="n"/>
      <c r="F36" s="23" t="n"/>
    </row>
    <row r="37">
      <c r="A37" s="23" t="n"/>
      <c r="B37" s="23" t="n"/>
      <c r="C37" s="23" t="n"/>
      <c r="D37" s="23" t="n"/>
      <c r="E37" s="23" t="n"/>
      <c r="F37" s="23" t="n"/>
    </row>
    <row r="38">
      <c r="A38" s="23" t="n"/>
      <c r="B38" s="23" t="n"/>
      <c r="C38" s="23" t="n"/>
      <c r="D38" s="23" t="n"/>
      <c r="E38" s="23" t="n"/>
      <c r="F38" s="23" t="n"/>
    </row>
    <row r="40" ht="18" customHeight="1">
      <c r="A40" s="6" t="inlineStr">
        <is>
          <t>OBSERVATIONS DU CLIENT</t>
        </is>
      </c>
    </row>
    <row r="41">
      <c r="A41" s="24" t="inlineStr"/>
      <c r="B41" s="23" t="n"/>
      <c r="C41" s="23" t="n"/>
      <c r="D41" s="23" t="n"/>
      <c r="E41" s="23" t="n"/>
      <c r="F41" s="23" t="n"/>
    </row>
    <row r="42">
      <c r="A42" s="23" t="n"/>
      <c r="B42" s="23" t="n"/>
      <c r="C42" s="23" t="n"/>
      <c r="D42" s="23" t="n"/>
      <c r="E42" s="23" t="n"/>
      <c r="F42" s="23" t="n"/>
    </row>
    <row r="44">
      <c r="A44" s="3" t="inlineStr">
        <is>
          <t>Contrôleur (nom, signature)</t>
        </is>
      </c>
      <c r="D44" s="3" t="inlineStr">
        <is>
          <t>Client (nom, fonction, signature)</t>
        </is>
      </c>
    </row>
    <row r="45">
      <c r="A45" s="25" t="n"/>
      <c r="B45" s="25" t="n"/>
      <c r="C45" s="25" t="n"/>
      <c r="D45" s="25" t="n"/>
      <c r="E45" s="25" t="n"/>
      <c r="F45" s="25" t="n"/>
    </row>
    <row r="46">
      <c r="A46" s="25" t="n"/>
      <c r="B46" s="25" t="n"/>
      <c r="C46" s="25" t="n"/>
      <c r="D46" s="25" t="n"/>
      <c r="E46" s="25" t="n"/>
      <c r="F46" s="25" t="n"/>
    </row>
    <row r="47">
      <c r="A47" s="25" t="n"/>
      <c r="B47" s="25" t="n"/>
      <c r="C47" s="25" t="n"/>
      <c r="D47" s="25" t="n"/>
      <c r="E47" s="25" t="n"/>
      <c r="F47" s="25" t="n"/>
    </row>
    <row r="49" ht="46" customHeight="1">
      <c r="A49" s="17" t="inlineStr">
        <is>
          <t>Contrôle zone par zone : notez chaque zone de 1 à 4 ; « Conforme » et le taux de conformité se calculent seuls à partir de la note minimale (3 par défaut, modifiable dans le barème). Prenez une photo de chaque défaut et notez son numéro. Cette fiche est un usage du métier : prévoyez-la, avec sa fréquence, dans votre contrat avec le client.</t>
        </is>
      </c>
    </row>
    <row r="50">
      <c r="A50" s="26" t="inlineStr">
        <is>
          <t>Modèle proposé par Dibodev, développeur de logiciels métier — dibodev.fr — Feuille 2/2 — à adapter à votre entreprise</t>
        </is>
      </c>
    </row>
  </sheetData>
  <mergeCells count="21">
    <mergeCell ref="C6:D6"/>
    <mergeCell ref="D45:F47"/>
    <mergeCell ref="A50:F50"/>
    <mergeCell ref="E8:F8"/>
    <mergeCell ref="E1:F1"/>
    <mergeCell ref="D12:F12"/>
    <mergeCell ref="C9:D9"/>
    <mergeCell ref="E9:F9"/>
    <mergeCell ref="A12:B12"/>
    <mergeCell ref="A41:F42"/>
    <mergeCell ref="E6:F6"/>
    <mergeCell ref="A44:C44"/>
    <mergeCell ref="E2:F2"/>
    <mergeCell ref="D44:F44"/>
    <mergeCell ref="C8:D8"/>
    <mergeCell ref="A49:F49"/>
    <mergeCell ref="C7:D7"/>
    <mergeCell ref="E7:F7"/>
    <mergeCell ref="A36:F38"/>
    <mergeCell ref="A45:C47"/>
    <mergeCell ref="E3:F3"/>
  </mergeCells>
  <conditionalFormatting sqref="D16:D27">
    <cfRule type="cellIs" priority="1" operator="equal" dxfId="0">
      <formula>"Non"</formula>
    </cfRule>
    <cfRule type="cellIs" priority="2" operator="equal" dxfId="1">
      <formula>"Oui"</formula>
    </cfRule>
  </conditionalFormatting>
  <dataValidations count="2">
    <dataValidation sqref="C16:C27" showDropDown="0" showInputMessage="0" showErrorMessage="0" allowBlank="1" errorTitle="Note de 1 à 4" error="Notez la zone de 1 à 4." promptTitle="Note de la zone" prompt="1 très insuffisant · 2 insuffisant · 3 satisfaisant · 4 très satisfaisant" type="whole" operator="between">
      <formula1>1</formula1>
      <formula2>4</formula2>
    </dataValidation>
    <dataValidation sqref="C12" showDropDown="0" showInputMessage="0" showErrorMessage="0" allowBlank="0" error="La note minimale va de 1 à 4." type="whole" operator="between">
      <formula1>1</formula1>
      <formula2>4</formula2>
    </dataValidation>
  </dataValidation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2026-10-26T08:05:10Z</dcterms:created>
  <dcterms:modified xmlns:dcterms="http://purl.org/dc/terms/" xmlns:xsi="http://www.w3.org/2001/XMLSchema-instance" xsi:type="dcterms:W3CDTF">2026-10-26T08:05:10Z</dcterms:modified>
</cp:coreProperties>
</file>