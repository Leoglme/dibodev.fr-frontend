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vis" sheetId="1" state="visible" r:id="rId1"/>
    <sheet xmlns:r="http://schemas.openxmlformats.org/officeDocument/2006/relationships" name="Contrat d'entretien" sheetId="2" state="visible" r:id="rId2"/>
  </sheets>
  <definedNames>
    <definedName name="_xlnm.Print_Area" localSheetId="0">'Devis'!$A$1:$F$50</definedName>
    <definedName name="_xlnm.Print_Area" localSheetId="1">'Contrat d''entretien'!$A$1:$F$58</definedName>
  </definedNames>
  <calcPr calcId="124519" fullCalcOnLoad="1"/>
</workbook>
</file>

<file path=xl/styles.xml><?xml version="1.0" encoding="utf-8"?>
<styleSheet xmlns="http://schemas.openxmlformats.org/spreadsheetml/2006/main">
  <numFmts count="2">
    <numFmt numFmtId="164" formatCode="#,##0.00 &quot;€&quot;"/>
    <numFmt numFmtId="165" formatCode="0.0%"/>
  </numFmts>
  <fonts count="7">
    <font>
      <name val="Calibri"/>
      <family val="2"/>
      <color theme="1"/>
      <sz val="11"/>
      <scheme val="minor"/>
    </font>
    <font>
      <name val="Arial"/>
      <b val="1"/>
      <color rgb="00141414"/>
      <sz val="18"/>
    </font>
    <font>
      <name val="Arial"/>
      <color rgb="0066665F"/>
      <sz val="9"/>
    </font>
    <font>
      <name val="Arial"/>
      <b val="1"/>
      <color rgb="004F42C9"/>
      <sz val="10"/>
    </font>
    <font>
      <name val="Arial"/>
      <color rgb="00141414"/>
      <sz val="10"/>
    </font>
    <font>
      <name val="Arial"/>
      <b val="1"/>
      <color rgb="00141414"/>
      <sz val="9"/>
    </font>
    <font>
      <name val="Arial"/>
      <i val="1"/>
      <color rgb="0066665F"/>
      <sz val="8"/>
    </font>
  </fonts>
  <fills count="3">
    <fill>
      <patternFill/>
    </fill>
    <fill>
      <patternFill patternType="gray125"/>
    </fill>
    <fill>
      <patternFill patternType="solid">
        <fgColor rgb="00F6F6F3"/>
      </patternFill>
    </fill>
  </fills>
  <borders count="5">
    <border>
      <left/>
      <right/>
      <top/>
      <bottom/>
      <diagonal/>
    </border>
    <border>
      <bottom style="thin">
        <color rgb="00B8B8B2"/>
      </bottom>
    </border>
    <border>
      <left/>
      <right/>
      <top/>
      <bottom style="thin">
        <color rgb="00B8B8B2"/>
      </bottom>
      <diagonal/>
    </border>
    <border>
      <left style="thin">
        <color rgb="00141414"/>
      </left>
      <right style="thin">
        <color rgb="00141414"/>
      </right>
      <top style="thin">
        <color rgb="00141414"/>
      </top>
      <bottom style="thin">
        <color rgb="00141414"/>
      </bottom>
    </border>
    <border>
      <left style="thin">
        <color rgb="00B8B8B2"/>
      </left>
      <right style="thin">
        <color rgb="00B8B8B2"/>
      </right>
      <top style="thin">
        <color rgb="00B8B8B2"/>
      </top>
      <bottom style="thin">
        <color rgb="00B8B8B2"/>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applyAlignment="1" pivotButton="0" quotePrefix="0" xfId="0">
      <alignment horizontal="right"/>
    </xf>
    <xf numFmtId="0" fontId="2" fillId="0" borderId="0" pivotButton="0" quotePrefix="0" xfId="0"/>
    <xf numFmtId="0" fontId="0" fillId="0" borderId="1" pivotButton="0" quotePrefix="0" xfId="0"/>
    <xf numFmtId="0" fontId="3" fillId="0" borderId="0" pivotButton="0" quotePrefix="0" xfId="0"/>
    <xf numFmtId="0" fontId="4" fillId="0" borderId="1" pivotButton="0" quotePrefix="0" xfId="0"/>
    <xf numFmtId="0" fontId="5" fillId="2" borderId="3" applyAlignment="1" pivotButton="0" quotePrefix="0" xfId="0">
      <alignment horizontal="left" vertical="center" wrapText="1"/>
    </xf>
    <xf numFmtId="0" fontId="5" fillId="2" borderId="3" applyAlignment="1" pivotButton="0" quotePrefix="0" xfId="0">
      <alignment horizontal="center" vertical="center" wrapText="1"/>
    </xf>
    <xf numFmtId="0" fontId="4" fillId="0" borderId="4" pivotButton="0" quotePrefix="0" xfId="0"/>
    <xf numFmtId="0" fontId="4" fillId="0" borderId="4" applyAlignment="1" pivotButton="0" quotePrefix="0" xfId="0">
      <alignment horizontal="center"/>
    </xf>
    <xf numFmtId="164" fontId="4" fillId="0" borderId="4" applyAlignment="1" pivotButton="0" quotePrefix="0" xfId="0">
      <alignment horizontal="right"/>
    </xf>
    <xf numFmtId="9" fontId="4" fillId="0" borderId="4" applyAlignment="1" pivotButton="0" quotePrefix="0" xfId="0">
      <alignment horizontal="center"/>
    </xf>
    <xf numFmtId="0" fontId="5" fillId="2" borderId="3" pivotButton="0" quotePrefix="0" xfId="0"/>
    <xf numFmtId="0" fontId="0" fillId="2" borderId="3" pivotButton="0" quotePrefix="0" xfId="0"/>
    <xf numFmtId="164" fontId="5" fillId="2" borderId="3" applyAlignment="1" pivotButton="0" quotePrefix="0" xfId="0">
      <alignment horizontal="right"/>
    </xf>
    <xf numFmtId="0" fontId="4" fillId="0" borderId="3" pivotButton="0" quotePrefix="0" xfId="0"/>
    <xf numFmtId="0" fontId="0" fillId="0" borderId="3" pivotButton="0" quotePrefix="0" xfId="0"/>
    <xf numFmtId="164" fontId="4" fillId="0" borderId="3" applyAlignment="1" pivotButton="0" quotePrefix="0" xfId="0">
      <alignment horizontal="right"/>
    </xf>
    <xf numFmtId="9" fontId="0" fillId="0" borderId="3" applyAlignment="1" pivotButton="0" quotePrefix="0" xfId="0">
      <alignment horizontal="center"/>
    </xf>
    <xf numFmtId="164" fontId="0" fillId="0" borderId="3" applyAlignment="1" pivotButton="0" quotePrefix="0" xfId="0">
      <alignment horizontal="right"/>
    </xf>
    <xf numFmtId="0" fontId="2" fillId="0" borderId="4" applyAlignment="1" pivotButton="0" quotePrefix="0" xfId="0">
      <alignment vertical="top" wrapText="1"/>
    </xf>
    <xf numFmtId="0" fontId="0" fillId="0" borderId="4" pivotButton="0" quotePrefix="0" xfId="0"/>
    <xf numFmtId="0" fontId="4" fillId="0" borderId="0" applyAlignment="1" pivotButton="0" quotePrefix="0" xfId="0">
      <alignment vertical="top" wrapText="1"/>
    </xf>
    <xf numFmtId="0" fontId="6" fillId="0" borderId="0" applyAlignment="1" pivotButton="0" quotePrefix="0" xfId="0">
      <alignment vertical="top" wrapText="1"/>
    </xf>
    <xf numFmtId="0" fontId="6" fillId="0" borderId="0" pivotButton="0" quotePrefix="0" xfId="0"/>
    <xf numFmtId="1" fontId="4" fillId="0" borderId="4" applyAlignment="1" pivotButton="0" quotePrefix="0" xfId="0">
      <alignment horizontal="center"/>
    </xf>
    <xf numFmtId="0" fontId="4" fillId="0" borderId="0" pivotButton="0" quotePrefix="0" xfId="0"/>
    <xf numFmtId="0" fontId="4" fillId="0" borderId="4"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50"/>
  <sheetViews>
    <sheetView showGridLines="0" workbookViewId="0">
      <selection activeCell="A1" sqref="A1"/>
    </sheetView>
  </sheetViews>
  <sheetFormatPr baseColWidth="8" defaultRowHeight="15"/>
  <cols>
    <col width="44" customWidth="1" min="1" max="1"/>
    <col width="10" customWidth="1" min="2" max="2"/>
    <col width="9" customWidth="1" min="3" max="3"/>
    <col width="16" customWidth="1" min="4" max="4"/>
    <col width="12" customWidth="1" min="5" max="5"/>
    <col width="16" customWidth="1" min="6" max="6"/>
  </cols>
  <sheetData>
    <row r="1" ht="26" customHeight="1">
      <c r="A1" s="1" t="inlineStr">
        <is>
          <t>Devis</t>
        </is>
      </c>
      <c r="E1" s="2" t="inlineStr">
        <is>
          <t>Entreprise (nom, adresse, téléphone, SIRET, n° de TVA)</t>
        </is>
      </c>
    </row>
    <row r="2">
      <c r="A2" s="3" t="inlineStr">
        <is>
          <t>Aménagement paysager, plantations et travaux de jardin — valable jusqu'à la date indiquée</t>
        </is>
      </c>
      <c r="E2" s="4" t="n"/>
      <c r="F2" s="4" t="n"/>
    </row>
    <row r="3">
      <c r="E3" s="2" t="inlineStr">
        <is>
          <t>Assurances : RC professionnelle, décennale le cas échéant (assureur, n° de contrat)</t>
        </is>
      </c>
    </row>
    <row r="4">
      <c r="E4" s="4" t="n"/>
      <c r="F4" s="4" t="n"/>
    </row>
    <row r="6" ht="18" customHeight="1">
      <c r="A6" s="5" t="inlineStr">
        <is>
          <t>RÉFÉRENCES</t>
        </is>
      </c>
    </row>
    <row r="7">
      <c r="A7" s="3" t="inlineStr">
        <is>
          <t>N° de devis</t>
        </is>
      </c>
      <c r="B7" s="6" t="n"/>
      <c r="C7" s="3" t="inlineStr">
        <is>
          <t>Date</t>
        </is>
      </c>
      <c r="D7" s="6" t="n"/>
      <c r="E7" s="3" t="inlineStr">
        <is>
          <t>Valable jusqu'au</t>
        </is>
      </c>
      <c r="F7" s="6" t="n"/>
    </row>
    <row r="8">
      <c r="A8" s="3" t="inlineStr">
        <is>
          <t>Début des travaux prévu</t>
        </is>
      </c>
      <c r="B8" s="6" t="n"/>
    </row>
    <row r="10" ht="18" customHeight="1">
      <c r="A10" s="5" t="inlineStr">
        <is>
          <t>CLIENT ET LIEU DES TRAVAUX</t>
        </is>
      </c>
    </row>
    <row r="11">
      <c r="A11" s="3" t="inlineStr">
        <is>
          <t>Nom, prénom ou raison sociale</t>
        </is>
      </c>
      <c r="B11" s="6" t="n"/>
      <c r="C11" s="4" t="n"/>
      <c r="D11" s="3" t="inlineStr">
        <is>
          <t>Téléphone / e-mail</t>
        </is>
      </c>
      <c r="E11" s="6" t="n"/>
      <c r="F11" s="4" t="n"/>
    </row>
    <row r="12">
      <c r="A12" s="3" t="inlineStr">
        <is>
          <t>Adresse</t>
        </is>
      </c>
      <c r="B12" s="6" t="n"/>
      <c r="C12" s="4" t="n"/>
      <c r="D12" s="3" t="inlineStr">
        <is>
          <t>Adresse du chantier (si différente)</t>
        </is>
      </c>
      <c r="E12" s="6" t="n"/>
      <c r="F12" s="4" t="n"/>
    </row>
    <row r="13">
      <c r="A13" s="3" t="inlineStr">
        <is>
          <t>Nature des travaux (création, plantations, clôture…)</t>
        </is>
      </c>
      <c r="B13" s="6" t="n"/>
      <c r="C13" s="4" t="n"/>
      <c r="D13" s="3" t="inlineStr">
        <is>
          <t>Logement achevé depuis + de 2 ans (oui / non)</t>
        </is>
      </c>
      <c r="E13" s="6" t="n"/>
      <c r="F13" s="4" t="n"/>
    </row>
    <row r="15" ht="18" customHeight="1">
      <c r="A15" s="5" t="inlineStr">
        <is>
          <t>DÉTAIL DES OUVRAGES ET DES VÉGÉTAUX</t>
        </is>
      </c>
    </row>
    <row r="16" ht="28" customHeight="1">
      <c r="A16" s="7" t="inlineStr">
        <is>
          <t>Désignation (ouvrage, végétal ou main-d'œuvre)</t>
        </is>
      </c>
      <c r="B16" s="8" t="inlineStr">
        <is>
          <t>Unité</t>
        </is>
      </c>
      <c r="C16" s="8" t="inlineStr">
        <is>
          <t>Qté</t>
        </is>
      </c>
      <c r="D16" s="8" t="inlineStr">
        <is>
          <t>Prix unitaire HT</t>
        </is>
      </c>
      <c r="E16" s="8" t="inlineStr">
        <is>
          <t>TVA (10 % ou 20 %)</t>
        </is>
      </c>
      <c r="F16" s="8" t="inlineStr">
        <is>
          <t>Total HT</t>
        </is>
      </c>
    </row>
    <row r="17" ht="20" customHeight="1">
      <c r="A17" s="9" t="n"/>
      <c r="B17" s="10" t="n"/>
      <c r="C17" s="10" t="n"/>
      <c r="D17" s="11" t="n"/>
      <c r="E17" s="12" t="n">
        <v>0.2</v>
      </c>
      <c r="F17" s="11">
        <f>IF(C17&lt;&gt;"",C17*D17,"")</f>
        <v/>
      </c>
    </row>
    <row r="18" ht="20" customHeight="1">
      <c r="A18" s="9" t="n"/>
      <c r="B18" s="10" t="n"/>
      <c r="C18" s="10" t="n"/>
      <c r="D18" s="11" t="n"/>
      <c r="E18" s="12" t="n">
        <v>0.2</v>
      </c>
      <c r="F18" s="11">
        <f>IF(C18&lt;&gt;"",C18*D18,"")</f>
        <v/>
      </c>
    </row>
    <row r="19" ht="20" customHeight="1">
      <c r="A19" s="9" t="n"/>
      <c r="B19" s="10" t="n"/>
      <c r="C19" s="10" t="n"/>
      <c r="D19" s="11" t="n"/>
      <c r="E19" s="12" t="n">
        <v>0.2</v>
      </c>
      <c r="F19" s="11">
        <f>IF(C19&lt;&gt;"",C19*D19,"")</f>
        <v/>
      </c>
    </row>
    <row r="20" ht="20" customHeight="1">
      <c r="A20" s="9" t="n"/>
      <c r="B20" s="10" t="n"/>
      <c r="C20" s="10" t="n"/>
      <c r="D20" s="11" t="n"/>
      <c r="E20" s="12" t="n">
        <v>0.2</v>
      </c>
      <c r="F20" s="11">
        <f>IF(C20&lt;&gt;"",C20*D20,"")</f>
        <v/>
      </c>
    </row>
    <row r="21" ht="20" customHeight="1">
      <c r="A21" s="9" t="n"/>
      <c r="B21" s="10" t="n"/>
      <c r="C21" s="10" t="n"/>
      <c r="D21" s="11" t="n"/>
      <c r="E21" s="12" t="n">
        <v>0.2</v>
      </c>
      <c r="F21" s="11">
        <f>IF(C21&lt;&gt;"",C21*D21,"")</f>
        <v/>
      </c>
    </row>
    <row r="22" ht="20" customHeight="1">
      <c r="A22" s="9" t="n"/>
      <c r="B22" s="10" t="n"/>
      <c r="C22" s="10" t="n"/>
      <c r="D22" s="11" t="n"/>
      <c r="E22" s="12" t="n">
        <v>0.2</v>
      </c>
      <c r="F22" s="11">
        <f>IF(C22&lt;&gt;"",C22*D22,"")</f>
        <v/>
      </c>
    </row>
    <row r="23" ht="20" customHeight="1">
      <c r="A23" s="9" t="n"/>
      <c r="B23" s="10" t="n"/>
      <c r="C23" s="10" t="n"/>
      <c r="D23" s="11" t="n"/>
      <c r="E23" s="12" t="n">
        <v>0.2</v>
      </c>
      <c r="F23" s="11">
        <f>IF(C23&lt;&gt;"",C23*D23,"")</f>
        <v/>
      </c>
    </row>
    <row r="24" ht="20" customHeight="1">
      <c r="A24" s="9" t="n"/>
      <c r="B24" s="10" t="n"/>
      <c r="C24" s="10" t="n"/>
      <c r="D24" s="11" t="n"/>
      <c r="E24" s="12" t="n">
        <v>0.2</v>
      </c>
      <c r="F24" s="11">
        <f>IF(C24&lt;&gt;"",C24*D24,"")</f>
        <v/>
      </c>
    </row>
    <row r="25" ht="20" customHeight="1">
      <c r="A25" s="9" t="n"/>
      <c r="B25" s="10" t="n"/>
      <c r="C25" s="10" t="n"/>
      <c r="D25" s="11" t="n"/>
      <c r="E25" s="12" t="n">
        <v>0.2</v>
      </c>
      <c r="F25" s="11">
        <f>IF(C25&lt;&gt;"",C25*D25,"")</f>
        <v/>
      </c>
    </row>
    <row r="26" ht="20" customHeight="1">
      <c r="A26" s="9" t="inlineStr">
        <is>
          <t>Main-d'œuvre (taux horaire HT en prix unitaire)</t>
        </is>
      </c>
      <c r="B26" s="10" t="inlineStr">
        <is>
          <t>h</t>
        </is>
      </c>
      <c r="C26" s="10" t="n"/>
      <c r="D26" s="11" t="n"/>
      <c r="E26" s="12" t="n">
        <v>0.2</v>
      </c>
      <c r="F26" s="11">
        <f>IF(C26&lt;&gt;"",C26*D26,"")</f>
        <v/>
      </c>
    </row>
    <row r="27" ht="20" customHeight="1">
      <c r="A27" s="9" t="inlineStr">
        <is>
          <t>Évacuation des déchets verts (déchetterie ou plateforme de compostage)</t>
        </is>
      </c>
      <c r="B27" s="10" t="inlineStr">
        <is>
          <t>m³</t>
        </is>
      </c>
      <c r="C27" s="10" t="n"/>
      <c r="D27" s="11" t="n"/>
      <c r="E27" s="12" t="n">
        <v>0.2</v>
      </c>
      <c r="F27" s="11">
        <f>IF(C27&lt;&gt;"",C27*D27,"")</f>
        <v/>
      </c>
    </row>
    <row r="28" ht="20" customHeight="1">
      <c r="A28" s="9" t="inlineStr">
        <is>
          <t>Frais de déplacement</t>
        </is>
      </c>
      <c r="B28" s="10" t="inlineStr">
        <is>
          <t>forfait</t>
        </is>
      </c>
      <c r="C28" s="10" t="n"/>
      <c r="D28" s="11" t="n"/>
      <c r="E28" s="12" t="n">
        <v>0.2</v>
      </c>
      <c r="F28" s="11">
        <f>IF(C28&lt;&gt;"",C28*D28,"")</f>
        <v/>
      </c>
    </row>
    <row r="29">
      <c r="A29" s="13" t="inlineStr">
        <is>
          <t>Total HT</t>
        </is>
      </c>
      <c r="B29" s="14" t="n"/>
      <c r="C29" s="14" t="n"/>
      <c r="D29" s="14" t="n"/>
      <c r="E29" s="14" t="n"/>
      <c r="F29" s="15">
        <f>SUM(F17:F28)</f>
        <v/>
      </c>
    </row>
    <row r="30">
      <c r="A30" s="16" t="inlineStr">
        <is>
          <t>TVA 10 % (ouvrages éligibles attenants à un logement de plus de 2 ans)</t>
        </is>
      </c>
      <c r="B30" s="17" t="n"/>
      <c r="C30" s="17" t="n"/>
      <c r="D30" s="17" t="n"/>
      <c r="E30" s="17" t="n"/>
      <c r="F30" s="18">
        <f>SUMIF(E17:E28,0.1,F17:F28)*0.1</f>
        <v/>
      </c>
    </row>
    <row r="31">
      <c r="A31" s="16" t="inlineStr">
        <is>
          <t>TVA 20 % (plantations, entretien et autres ouvrages)</t>
        </is>
      </c>
      <c r="B31" s="17" t="n"/>
      <c r="C31" s="17" t="n"/>
      <c r="D31" s="17" t="n"/>
      <c r="E31" s="17" t="n"/>
      <c r="F31" s="18">
        <f>SUMIF(E17:E28,0.2,F17:F28)*0.2</f>
        <v/>
      </c>
    </row>
    <row r="32">
      <c r="A32" s="13" t="inlineStr">
        <is>
          <t>Total TTC</t>
        </is>
      </c>
      <c r="B32" s="14" t="n"/>
      <c r="C32" s="14" t="n"/>
      <c r="D32" s="14" t="n"/>
      <c r="E32" s="14" t="n"/>
      <c r="F32" s="15">
        <f>F29+F30+F31</f>
        <v/>
      </c>
    </row>
    <row r="33">
      <c r="A33" s="16" t="inlineStr">
        <is>
          <t>Acompte à la commande (taux en E)</t>
        </is>
      </c>
      <c r="B33" s="17" t="n"/>
      <c r="C33" s="17" t="n"/>
      <c r="D33" s="17" t="n"/>
      <c r="E33" s="19" t="n">
        <v>0.3</v>
      </c>
      <c r="F33" s="20">
        <f>F32*E33</f>
        <v/>
      </c>
    </row>
    <row r="35" ht="18" customHeight="1">
      <c r="A35" s="5" t="inlineStr">
        <is>
          <t>CONDITIONS</t>
        </is>
      </c>
    </row>
    <row r="36">
      <c r="A36" s="21" t="inlineStr">
        <is>
          <t>Date de début et durée prévue des travaux, accès au chantier, eau et électricité sur place, modalités de paiement (acompte, solde à la fin des travaux), garantie de reprise des végétaux si vous en proposez une, évacuation des déchets verts incluse ou en sus.</t>
        </is>
      </c>
      <c r="B36" s="22" t="n"/>
      <c r="C36" s="22" t="n"/>
      <c r="D36" s="22" t="n"/>
      <c r="E36" s="22" t="n"/>
      <c r="F36" s="22" t="n"/>
    </row>
    <row r="37">
      <c r="A37" s="22" t="n"/>
      <c r="B37" s="22" t="n"/>
      <c r="C37" s="22" t="n"/>
      <c r="D37" s="22" t="n"/>
      <c r="E37" s="22" t="n"/>
      <c r="F37" s="22" t="n"/>
    </row>
    <row r="38">
      <c r="A38" s="22" t="n"/>
      <c r="B38" s="22" t="n"/>
      <c r="C38" s="22" t="n"/>
      <c r="D38" s="22" t="n"/>
      <c r="E38" s="22" t="n"/>
      <c r="F38" s="22" t="n"/>
    </row>
    <row r="40" ht="18" customHeight="1">
      <c r="A40" s="5" t="inlineStr">
        <is>
          <t>TVA À 10 % : CERTIFICATION DU CLIENT (COCHER)</t>
        </is>
      </c>
    </row>
    <row r="41" ht="20" customHeight="1">
      <c r="A41" s="23" t="inlineStr">
        <is>
          <t>☐  Je certifie que les travaux portent sur un logement achevé depuis plus de 2 ans, affecté à l'habitation, qu'ils ne concourent pas à la production d'un immeuble neuf et n'augmentent pas la surface de plancher de plus de 10 % (art. 279-0 bis du CGI).</t>
        </is>
      </c>
    </row>
    <row r="42" ht="20" customHeight="1"/>
    <row r="44">
      <c r="A44" s="3" t="inlineStr">
        <is>
          <t>Date et signature du client, précédée de « Bon pour accord »</t>
        </is>
      </c>
      <c r="D44" s="3" t="inlineStr">
        <is>
          <t>Signature et cachet de l'entreprise</t>
        </is>
      </c>
    </row>
    <row r="45">
      <c r="A45" s="17" t="n"/>
      <c r="B45" s="17" t="n"/>
      <c r="C45" s="17" t="n"/>
      <c r="D45" s="17" t="n"/>
      <c r="E45" s="17" t="n"/>
      <c r="F45" s="17" t="n"/>
    </row>
    <row r="46">
      <c r="A46" s="17" t="n"/>
      <c r="B46" s="17" t="n"/>
      <c r="C46" s="17" t="n"/>
      <c r="D46" s="17" t="n"/>
      <c r="E46" s="17" t="n"/>
      <c r="F46" s="17" t="n"/>
    </row>
    <row r="47">
      <c r="A47" s="17" t="n"/>
      <c r="B47" s="17" t="n"/>
      <c r="C47" s="17" t="n"/>
      <c r="D47" s="17" t="n"/>
      <c r="E47" s="17" t="n"/>
      <c r="F47" s="17" t="n"/>
    </row>
    <row r="49" ht="64" customHeight="1">
      <c r="A49" s="24" t="inlineStr">
        <is>
          <t>TVA : 20 % pour la création et l'entretien des espaces verts et les plantations ; 10 % pour certains ouvrages attenants à un logement achevé depuis plus de 2 ans (mur de clôture hors haies vives, portail, réfection de terrasse maçonnée, muret de protection, chemin d'accès principal), avec la certification du client ; abri, serre, pergola, fontaine, bassin, éclairage et piscine à 20 % (BOFiP, BOI-ANNX-000208). Petit jardinage en services à la personne : devis obligatoire et gratuit dès 100 € TTC par mois. Déchets verts : triés à la source, jamais brûlés.</t>
        </is>
      </c>
    </row>
    <row r="50">
      <c r="A50" s="25" t="inlineStr">
        <is>
          <t>Modèle proposé par Dibodev, développeur de logiciels de gestion pour les entreprises du paysage — dibodev.fr — Feuille 1/2 — à adapter à votre entreprise</t>
        </is>
      </c>
    </row>
  </sheetData>
  <mergeCells count="25">
    <mergeCell ref="A30:E30"/>
    <mergeCell ref="E12:F12"/>
    <mergeCell ref="D45:F47"/>
    <mergeCell ref="A50:F50"/>
    <mergeCell ref="B12:C12"/>
    <mergeCell ref="E4:F4"/>
    <mergeCell ref="B11:C11"/>
    <mergeCell ref="B7"/>
    <mergeCell ref="E13:F13"/>
    <mergeCell ref="B13:C13"/>
    <mergeCell ref="A41:F42"/>
    <mergeCell ref="F7"/>
    <mergeCell ref="A44:C44"/>
    <mergeCell ref="E2:F2"/>
    <mergeCell ref="E11:F11"/>
    <mergeCell ref="D44:F44"/>
    <mergeCell ref="A32:E32"/>
    <mergeCell ref="B8"/>
    <mergeCell ref="A49:F49"/>
    <mergeCell ref="A29:E29"/>
    <mergeCell ref="D7"/>
    <mergeCell ref="A36:F38"/>
    <mergeCell ref="A45:C47"/>
    <mergeCell ref="A33:D33"/>
    <mergeCell ref="A31:E31"/>
  </mergeCells>
  <dataValidations count="1">
    <dataValidation sqref="E17:E28" showDropDown="0" showInputMessage="0" showErrorMessage="1" allowBlank="1" errorTitle="Taux de TVA" error="Choisissez 10 % (ouvrage éligible attenant à un logement de plus de 2 ans) ou 20 %." type="custom">
      <formula1>OR(E17=0.1,E17=0.2)</formula1>
    </dataValidation>
  </dataValidations>
  <printOptions horizontalCentered="1"/>
  <pageMargins left="0.5" right="0.5" top="0.6" bottom="0.6" header="0.5" footer="0.5"/>
  <pageSetup orientation="portrait" paperSize="9" fitToHeight="1" fitToWidth="1"/>
</worksheet>
</file>

<file path=xl/worksheets/sheet2.xml><?xml version="1.0" encoding="utf-8"?>
<worksheet xmlns="http://schemas.openxmlformats.org/spreadsheetml/2006/main">
  <sheetPr>
    <outlinePr summaryBelow="1" summaryRight="1"/>
    <pageSetUpPr fitToPage="1"/>
  </sheetPr>
  <dimension ref="A1:F58"/>
  <sheetViews>
    <sheetView showGridLines="0" workbookViewId="0">
      <selection activeCell="A1" sqref="A1"/>
    </sheetView>
  </sheetViews>
  <sheetFormatPr baseColWidth="8" defaultRowHeight="15"/>
  <cols>
    <col width="40" customWidth="1" min="1" max="1"/>
    <col width="18" customWidth="1" min="2" max="2"/>
    <col width="11" customWidth="1" min="3" max="3"/>
    <col width="14" customWidth="1" min="4" max="4"/>
    <col width="15" customWidth="1" min="5" max="5"/>
    <col width="15" customWidth="1" min="6" max="6"/>
  </cols>
  <sheetData>
    <row r="1" ht="26" customHeight="1">
      <c r="A1" s="1" t="inlineStr">
        <is>
          <t>Contrat d'entretien de jardin</t>
        </is>
      </c>
      <c r="E1" s="2" t="inlineStr">
        <is>
          <t>Entreprise (nom, adresse, téléphone, SIRET)</t>
        </is>
      </c>
    </row>
    <row r="2">
      <c r="A2" s="3" t="inlineStr">
        <is>
          <t>Passages réguliers chez un particulier ou une entreprise — un exemplaire signé pour chaque partie</t>
        </is>
      </c>
      <c r="E2" s="4" t="n"/>
      <c r="F2" s="4" t="n"/>
    </row>
    <row r="3">
      <c r="E3" s="2" t="inlineStr">
        <is>
          <t>Déclaration services à la personne : n° (si l'entreprise est déclarée)</t>
        </is>
      </c>
    </row>
    <row r="4">
      <c r="E4" s="4" t="n"/>
      <c r="F4" s="4" t="n"/>
    </row>
    <row r="6" ht="18" customHeight="1">
      <c r="A6" s="5" t="inlineStr">
        <is>
          <t>RÉFÉRENCES</t>
        </is>
      </c>
    </row>
    <row r="7">
      <c r="A7" s="3" t="inlineStr">
        <is>
          <t>N° de contrat</t>
        </is>
      </c>
      <c r="B7" s="6" t="n"/>
      <c r="C7" s="3" t="inlineStr">
        <is>
          <t>Date</t>
        </is>
      </c>
      <c r="D7" s="6" t="n"/>
      <c r="E7" s="3" t="inlineStr">
        <is>
          <t>Début du contrat</t>
        </is>
      </c>
      <c r="F7" s="6" t="n"/>
    </row>
    <row r="8">
      <c r="A8" s="3" t="inlineStr">
        <is>
          <t>Fin du contrat</t>
        </is>
      </c>
      <c r="B8" s="6" t="n"/>
    </row>
    <row r="10" ht="18" customHeight="1">
      <c r="A10" s="5" t="inlineStr">
        <is>
          <t>CLIENT ET JARDIN</t>
        </is>
      </c>
    </row>
    <row r="11">
      <c r="A11" s="3" t="inlineStr">
        <is>
          <t>Nom, prénom ou raison sociale</t>
        </is>
      </c>
      <c r="B11" s="6" t="n"/>
      <c r="C11" s="4" t="n"/>
      <c r="D11" s="3" t="inlineStr">
        <is>
          <t>Téléphone / e-mail</t>
        </is>
      </c>
      <c r="E11" s="6" t="n"/>
      <c r="F11" s="4" t="n"/>
    </row>
    <row r="12">
      <c r="A12" s="3" t="inlineStr">
        <is>
          <t>Adresse du jardin</t>
        </is>
      </c>
      <c r="B12" s="6" t="n"/>
      <c r="C12" s="4" t="n"/>
      <c r="D12" s="3" t="inlineStr">
        <is>
          <t>Client particulier / professionnel</t>
        </is>
      </c>
      <c r="E12" s="6" t="n"/>
      <c r="F12" s="4" t="n"/>
    </row>
    <row r="13">
      <c r="A13" s="3" t="inlineStr">
        <is>
          <t>Surfaces (pelouse en m², haies en mètres)</t>
        </is>
      </c>
      <c r="B13" s="6" t="n"/>
      <c r="C13" s="4" t="n"/>
      <c r="D13" s="3" t="inlineStr">
        <is>
          <t>Accès (portail, clé, eau, électricité)</t>
        </is>
      </c>
      <c r="E13" s="6" t="n"/>
      <c r="F13" s="4" t="n"/>
    </row>
    <row r="15" ht="18" customHeight="1">
      <c r="A15" s="5" t="inlineStr">
        <is>
          <t>PRESTATIONS ET FRÉQUENCE DES PASSAGES</t>
        </is>
      </c>
    </row>
    <row r="16" ht="40" customHeight="1">
      <c r="A16" s="7" t="inlineStr">
        <is>
          <t>Prestation</t>
        </is>
      </c>
      <c r="B16" s="8" t="inlineStr">
        <is>
          <t>Période et fréquence</t>
        </is>
      </c>
      <c r="C16" s="8" t="inlineStr">
        <is>
          <t>Passages par an</t>
        </is>
      </c>
      <c r="D16" s="8" t="inlineStr">
        <is>
          <t>Prix HT par passage</t>
        </is>
      </c>
      <c r="E16" s="8" t="inlineStr">
        <is>
          <t>Services à la personne (oui / non)</t>
        </is>
      </c>
      <c r="F16" s="8" t="inlineStr">
        <is>
          <t>Total HT par an</t>
        </is>
      </c>
    </row>
    <row r="17" ht="20" customHeight="1">
      <c r="A17" s="9" t="inlineStr">
        <is>
          <t>Tonte de la pelouse et ramassage de l'herbe</t>
        </is>
      </c>
      <c r="B17" s="9" t="n"/>
      <c r="C17" s="26" t="n"/>
      <c r="D17" s="11" t="n"/>
      <c r="E17" s="10" t="n"/>
      <c r="F17" s="11">
        <f>IF(C17&lt;&gt;"",C17*D17,"")</f>
        <v/>
      </c>
    </row>
    <row r="18" ht="20" customHeight="1">
      <c r="A18" s="9" t="inlineStr">
        <is>
          <t>Taille des haies</t>
        </is>
      </c>
      <c r="B18" s="9" t="n"/>
      <c r="C18" s="26" t="n"/>
      <c r="D18" s="11" t="n"/>
      <c r="E18" s="10" t="n"/>
      <c r="F18" s="11">
        <f>IF(C18&lt;&gt;"",C18*D18,"")</f>
        <v/>
      </c>
    </row>
    <row r="19" ht="20" customHeight="1">
      <c r="A19" s="9" t="inlineStr">
        <is>
          <t>Taille des arbustes et des rosiers</t>
        </is>
      </c>
      <c r="B19" s="9" t="n"/>
      <c r="C19" s="26" t="n"/>
      <c r="D19" s="11" t="n"/>
      <c r="E19" s="10" t="n"/>
      <c r="F19" s="11">
        <f>IF(C19&lt;&gt;"",C19*D19,"")</f>
        <v/>
      </c>
    </row>
    <row r="20" ht="20" customHeight="1">
      <c r="A20" s="9" t="inlineStr">
        <is>
          <t>Désherbage manuel des massifs et des allées</t>
        </is>
      </c>
      <c r="B20" s="9" t="n"/>
      <c r="C20" s="26" t="n"/>
      <c r="D20" s="11" t="n"/>
      <c r="E20" s="10" t="n"/>
      <c r="F20" s="11">
        <f>IF(C20&lt;&gt;"",C20*D20,"")</f>
        <v/>
      </c>
    </row>
    <row r="21" ht="20" customHeight="1">
      <c r="A21" s="9" t="inlineStr">
        <is>
          <t>Ramassage des feuilles</t>
        </is>
      </c>
      <c r="B21" s="9" t="n"/>
      <c r="C21" s="26" t="n"/>
      <c r="D21" s="11" t="n"/>
      <c r="E21" s="10" t="n"/>
      <c r="F21" s="11">
        <f>IF(C21&lt;&gt;"",C21*D21,"")</f>
        <v/>
      </c>
    </row>
    <row r="22" ht="20" customHeight="1">
      <c r="A22" s="9" t="inlineStr">
        <is>
          <t>Débroussaillage</t>
        </is>
      </c>
      <c r="B22" s="9" t="n"/>
      <c r="C22" s="26" t="n"/>
      <c r="D22" s="11" t="n"/>
      <c r="E22" s="10" t="n"/>
      <c r="F22" s="11">
        <f>IF(C22&lt;&gt;"",C22*D22,"")</f>
        <v/>
      </c>
    </row>
    <row r="23" ht="20" customHeight="1">
      <c r="A23" s="9" t="inlineStr">
        <is>
          <t>Évacuation des déchets verts (filière de tri)</t>
        </is>
      </c>
      <c r="B23" s="9" t="n"/>
      <c r="C23" s="26" t="n"/>
      <c r="D23" s="11" t="n"/>
      <c r="E23" s="10" t="n"/>
      <c r="F23" s="11">
        <f>IF(C23&lt;&gt;"",C23*D23,"")</f>
        <v/>
      </c>
    </row>
    <row r="24" ht="20" customHeight="1">
      <c r="A24" s="9" t="n"/>
      <c r="B24" s="9" t="n"/>
      <c r="C24" s="26" t="n"/>
      <c r="D24" s="11" t="n"/>
      <c r="E24" s="10" t="n"/>
      <c r="F24" s="11">
        <f>IF(C24&lt;&gt;"",C24*D24,"")</f>
        <v/>
      </c>
    </row>
    <row r="25" ht="20" customHeight="1">
      <c r="A25" s="9" t="n"/>
      <c r="B25" s="9" t="n"/>
      <c r="C25" s="26" t="n"/>
      <c r="D25" s="11" t="n"/>
      <c r="E25" s="10" t="n"/>
      <c r="F25" s="11">
        <f>IF(C25&lt;&gt;"",C25*D25,"")</f>
        <v/>
      </c>
    </row>
    <row r="26" ht="20" customHeight="1">
      <c r="A26" s="9" t="n"/>
      <c r="B26" s="9" t="n"/>
      <c r="C26" s="26" t="n"/>
      <c r="D26" s="11" t="n"/>
      <c r="E26" s="10" t="n"/>
      <c r="F26" s="11">
        <f>IF(C26&lt;&gt;"",C26*D26,"")</f>
        <v/>
      </c>
    </row>
    <row r="27">
      <c r="A27" s="13" t="inlineStr">
        <is>
          <t>Montant annuel HT</t>
        </is>
      </c>
      <c r="B27" s="14" t="n"/>
      <c r="C27" s="14" t="n"/>
      <c r="D27" s="14" t="n"/>
      <c r="E27" s="14" t="n"/>
      <c r="F27" s="15">
        <f>SUM(F17:F26)</f>
        <v/>
      </c>
    </row>
    <row r="28">
      <c r="A28" s="16" t="inlineStr">
        <is>
          <t>TVA 20 % (entretien de jardin)</t>
        </is>
      </c>
      <c r="B28" s="17" t="n"/>
      <c r="C28" s="17" t="n"/>
      <c r="D28" s="17" t="n"/>
      <c r="E28" s="17" t="n"/>
      <c r="F28" s="18">
        <f>F27*0.2</f>
        <v/>
      </c>
    </row>
    <row r="29">
      <c r="A29" s="13" t="inlineStr">
        <is>
          <t>Montant annuel TTC</t>
        </is>
      </c>
      <c r="B29" s="14" t="n"/>
      <c r="C29" s="14" t="n"/>
      <c r="D29" s="14" t="n"/>
      <c r="E29" s="14" t="n"/>
      <c r="F29" s="15">
        <f>F27+F28</f>
        <v/>
      </c>
    </row>
    <row r="30">
      <c r="A30" s="16" t="inlineStr">
        <is>
          <t>Mensualité TTC (paiement en 12 fois)</t>
        </is>
      </c>
      <c r="B30" s="17" t="n"/>
      <c r="C30" s="17" t="n"/>
      <c r="D30" s="17" t="n"/>
      <c r="E30" s="17" t="n"/>
      <c r="F30" s="18">
        <f>F29/12</f>
        <v/>
      </c>
    </row>
    <row r="31">
      <c r="A31" s="16" t="inlineStr">
        <is>
          <t>Dont prestations marquées « oui » en services à la personne (TTC)</t>
        </is>
      </c>
      <c r="B31" s="17" t="n"/>
      <c r="C31" s="17" t="n"/>
      <c r="D31" s="17" t="n"/>
      <c r="E31" s="17" t="n"/>
      <c r="F31" s="18">
        <f>SUMIF(E17:E26,"oui",F17:F26)*1.2</f>
        <v/>
      </c>
    </row>
    <row r="33" ht="18" customHeight="1">
      <c r="A33" s="5" t="inlineStr">
        <is>
          <t>PAIEMENT (COCHER)</t>
        </is>
      </c>
    </row>
    <row r="34">
      <c r="A34" s="27" t="inlineStr">
        <is>
          <t>☐  en 12 mensualités        ☐  après chaque passage        ☐  en une fois</t>
        </is>
      </c>
    </row>
    <row r="36" ht="18" customHeight="1">
      <c r="A36" s="5" t="inlineStr">
        <is>
          <t>DURÉE, RÉVISION, RÉSILIATION</t>
        </is>
      </c>
    </row>
    <row r="37" ht="16" customHeight="1">
      <c r="A37" s="28" t="inlineStr">
        <is>
          <t>Durée : un an, du ____________ au ____________ ; renouvellement à convenir par écrit.   Révision du prix : une fois par an, à la date anniversaire, selon ______________________ ; le client en est informé par écrit ____ jours avant.   Résiliation : par écrit (lettre ou e-mail), avec un préavis de __________ ; les passages réalisés restent dus.   Météo : un passage empêché est reporté à la date convenue suivante.</t>
        </is>
      </c>
      <c r="B37" s="22" t="n"/>
      <c r="C37" s="22" t="n"/>
      <c r="D37" s="22" t="n"/>
      <c r="E37" s="22" t="n"/>
      <c r="F37" s="22" t="n"/>
    </row>
    <row r="38" ht="16" customHeight="1">
      <c r="A38" s="22" t="n"/>
      <c r="B38" s="22" t="n"/>
      <c r="C38" s="22" t="n"/>
      <c r="D38" s="22" t="n"/>
      <c r="E38" s="22" t="n"/>
      <c r="F38" s="22" t="n"/>
    </row>
    <row r="39" ht="16" customHeight="1">
      <c r="A39" s="22" t="n"/>
      <c r="B39" s="22" t="n"/>
      <c r="C39" s="22" t="n"/>
      <c r="D39" s="22" t="n"/>
      <c r="E39" s="22" t="n"/>
      <c r="F39" s="22" t="n"/>
    </row>
    <row r="40" ht="16" customHeight="1">
      <c r="A40" s="22" t="n"/>
      <c r="B40" s="22" t="n"/>
      <c r="C40" s="22" t="n"/>
      <c r="D40" s="22" t="n"/>
      <c r="E40" s="22" t="n"/>
      <c r="F40" s="22" t="n"/>
    </row>
    <row r="42" ht="18" customHeight="1">
      <c r="A42" s="5" t="inlineStr">
        <is>
          <t>NON COMPRIS, PRODUITS, DÉCHETS</t>
        </is>
      </c>
    </row>
    <row r="43" ht="16" customHeight="1">
      <c r="A43" s="28" t="inlineStr">
        <is>
          <t>Non compris : création, élagage, abattage, fournitures (végétaux, terre, paillage) : sur devis séparé.   Produits : pas de produits phytosanitaires chez les particuliers (interdits depuis le 1er juillet 2022, sauf biocontrôle, faible risque ou agriculture biologique).   Déchets verts : évacués vers une filière de tri, jamais brûlés : ☐ inclus  ☐ facturés en sus.</t>
        </is>
      </c>
      <c r="B43" s="22" t="n"/>
      <c r="C43" s="22" t="n"/>
      <c r="D43" s="22" t="n"/>
      <c r="E43" s="22" t="n"/>
      <c r="F43" s="22" t="n"/>
    </row>
    <row r="44" ht="16" customHeight="1">
      <c r="A44" s="22" t="n"/>
      <c r="B44" s="22" t="n"/>
      <c r="C44" s="22" t="n"/>
      <c r="D44" s="22" t="n"/>
      <c r="E44" s="22" t="n"/>
      <c r="F44" s="22" t="n"/>
    </row>
    <row r="45" ht="16" customHeight="1">
      <c r="A45" s="22" t="n"/>
      <c r="B45" s="22" t="n"/>
      <c r="C45" s="22" t="n"/>
      <c r="D45" s="22" t="n"/>
      <c r="E45" s="22" t="n"/>
      <c r="F45" s="22" t="n"/>
    </row>
    <row r="47" ht="18" customHeight="1">
      <c r="A47" s="5" t="inlineStr">
        <is>
          <t>SERVICES À LA PERSONNE</t>
        </is>
      </c>
    </row>
    <row r="48" ht="16" customHeight="1">
      <c r="A48" s="28" t="inlineStr">
        <is>
          <t>Petit jardinage en services à la personne : crédit d'impôt de 50 % pour le client si l'entreprise est déclarée, sur les prestations éligibles (entretien courant, taille des haies et des arbres, débroussaillage), dans la limite de 5 000 € de dépenses par an et par foyer. L'entreprise remet au client une attestation fiscale avant le 31 mars de l'année suivante. L'éligibilité dépend de la déclaration de l'entreprise et de la nature de chaque prestation : ce contrat ne la garantit pas.</t>
        </is>
      </c>
      <c r="B48" s="22" t="n"/>
      <c r="C48" s="22" t="n"/>
      <c r="D48" s="22" t="n"/>
      <c r="E48" s="22" t="n"/>
      <c r="F48" s="22" t="n"/>
    </row>
    <row r="49" ht="16" customHeight="1">
      <c r="A49" s="22" t="n"/>
      <c r="B49" s="22" t="n"/>
      <c r="C49" s="22" t="n"/>
      <c r="D49" s="22" t="n"/>
      <c r="E49" s="22" t="n"/>
      <c r="F49" s="22" t="n"/>
    </row>
    <row r="50" ht="16" customHeight="1">
      <c r="A50" s="22" t="n"/>
      <c r="B50" s="22" t="n"/>
      <c r="C50" s="22" t="n"/>
      <c r="D50" s="22" t="n"/>
      <c r="E50" s="22" t="n"/>
      <c r="F50" s="22" t="n"/>
    </row>
    <row r="52">
      <c r="A52" s="3" t="inlineStr">
        <is>
          <t>Le client : date, signature, « Lu et approuvé »</t>
        </is>
      </c>
      <c r="D52" s="3" t="inlineStr">
        <is>
          <t>L'entreprise : signature et cachet</t>
        </is>
      </c>
    </row>
    <row r="53">
      <c r="A53" s="17" t="n"/>
      <c r="B53" s="17" t="n"/>
      <c r="C53" s="17" t="n"/>
      <c r="D53" s="17" t="n"/>
      <c r="E53" s="17" t="n"/>
      <c r="F53" s="17" t="n"/>
    </row>
    <row r="54">
      <c r="A54" s="17" t="n"/>
      <c r="B54" s="17" t="n"/>
      <c r="C54" s="17" t="n"/>
      <c r="D54" s="17" t="n"/>
      <c r="E54" s="17" t="n"/>
      <c r="F54" s="17" t="n"/>
    </row>
    <row r="55">
      <c r="A55" s="17" t="n"/>
      <c r="B55" s="17" t="n"/>
      <c r="C55" s="17" t="n"/>
      <c r="D55" s="17" t="n"/>
      <c r="E55" s="17" t="n"/>
      <c r="F55" s="17" t="n"/>
    </row>
    <row r="57" ht="52" customHeight="1">
      <c r="A57" s="24" t="inlineStr">
        <is>
          <t>L'entretien des jardins, y compris le petit jardinage en services à la personne, est soumis à la TVA au taux de 20 %. En services à la personne, le devis est obligatoire et gratuit dès 100 € TTC par mois. Là où les produits phytopharmaceutiques restent permis, leur usage professionnel demande le Certiphyto. Le brûlage des déchets verts est interdit.</t>
        </is>
      </c>
    </row>
    <row r="58">
      <c r="A58" s="25" t="inlineStr">
        <is>
          <t>Modèle proposé par Dibodev, développeur de logiciels de gestion pour les entreprises du paysage — dibodev.fr — Feuille 2/2 — à adapter à votre entreprise</t>
        </is>
      </c>
    </row>
  </sheetData>
  <mergeCells count="27">
    <mergeCell ref="A30:E30"/>
    <mergeCell ref="E12:F12"/>
    <mergeCell ref="D52:F52"/>
    <mergeCell ref="B12:C12"/>
    <mergeCell ref="A57:F57"/>
    <mergeCell ref="E4:F4"/>
    <mergeCell ref="B11:C11"/>
    <mergeCell ref="B7"/>
    <mergeCell ref="D53:F55"/>
    <mergeCell ref="E13:F13"/>
    <mergeCell ref="A27:E27"/>
    <mergeCell ref="A52:C52"/>
    <mergeCell ref="B13:C13"/>
    <mergeCell ref="F7"/>
    <mergeCell ref="E2:F2"/>
    <mergeCell ref="A53:C55"/>
    <mergeCell ref="E11:F11"/>
    <mergeCell ref="A58:F58"/>
    <mergeCell ref="A34:F34"/>
    <mergeCell ref="A43:F45"/>
    <mergeCell ref="B8"/>
    <mergeCell ref="A29:E29"/>
    <mergeCell ref="A37:F40"/>
    <mergeCell ref="A28:E28"/>
    <mergeCell ref="D7"/>
    <mergeCell ref="A48:F50"/>
    <mergeCell ref="A31:E31"/>
  </mergeCells>
  <dataValidations count="1">
    <dataValidation sqref="E17:E26" showDropDown="0" showInputMessage="0" showErrorMessage="1" allowBlank="1" errorTitle="Services à la personne" error="Répondez oui ou non." type="list">
      <formula1>"oui,non"</formula1>
    </dataValidation>
  </dataValidations>
  <printOptions horizontalCentered="1"/>
  <pageMargins left="0.5" right="0.5" top="0.6" bottom="0.6" header="0.5" footer="0.5"/>
  <pageSetup orientation="portrait" paperSize="9"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2026-10-26T08:09:11Z</dcterms:created>
  <dcterms:modified xmlns:dcterms="http://purl.org/dc/terms/" xmlns:xsi="http://www.w3.org/2001/XMLSchema-instance" xsi:type="dcterms:W3CDTF">2026-10-26T08:09:11Z</dcterms:modified>
</cp:coreProperties>
</file>