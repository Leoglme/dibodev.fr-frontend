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re de réparation" sheetId="1" state="visible" r:id="rId1"/>
    <sheet xmlns:r="http://schemas.openxmlformats.org/officeDocument/2006/relationships" name="Devis" sheetId="2" state="visible" r:id="rId2"/>
  </sheets>
  <definedNames>
    <definedName name="_xlnm.Print_Area" localSheetId="0">'Ordre de réparation'!$A$1:$F$47</definedName>
    <definedName name="_xlnm.Print_Area" localSheetId="1">'Devis'!$A$1:$F$43</definedName>
  </definedNames>
  <calcPr calcId="124519" fullCalcOnLoad="1"/>
</workbook>
</file>

<file path=xl/styles.xml><?xml version="1.0" encoding="utf-8"?>
<styleSheet xmlns="http://schemas.openxmlformats.org/spreadsheetml/2006/main">
  <numFmts count="1">
    <numFmt numFmtId="164" formatCode="#,##0.00 &quot;€&quot;"/>
  </numFmts>
  <fonts count="7">
    <font>
      <name val="Calibri"/>
      <family val="2"/>
      <color theme="1"/>
      <sz val="11"/>
      <scheme val="minor"/>
    </font>
    <font>
      <name val="Arial"/>
      <b val="1"/>
      <color rgb="00141414"/>
      <sz val="18"/>
    </font>
    <font>
      <name val="Arial"/>
      <color rgb="0066665F"/>
      <sz val="9"/>
    </font>
    <font>
      <name val="Arial"/>
      <b val="1"/>
      <color rgb="004F42C9"/>
      <sz val="10"/>
    </font>
    <font>
      <name val="Arial"/>
      <color rgb="00141414"/>
      <sz val="10"/>
    </font>
    <font>
      <name val="Arial"/>
      <b val="1"/>
      <color rgb="00141414"/>
      <sz val="9"/>
    </font>
    <font>
      <name val="Arial"/>
      <i val="1"/>
      <color rgb="0066665F"/>
      <sz val="8"/>
    </font>
  </fonts>
  <fills count="3">
    <fill>
      <patternFill/>
    </fill>
    <fill>
      <patternFill patternType="gray125"/>
    </fill>
    <fill>
      <patternFill patternType="solid">
        <fgColor rgb="00F6F6F3"/>
      </patternFill>
    </fill>
  </fills>
  <borders count="5">
    <border>
      <left/>
      <right/>
      <top/>
      <bottom/>
      <diagonal/>
    </border>
    <border>
      <bottom style="thin">
        <color rgb="00B8B8B2"/>
      </bottom>
    </border>
    <border>
      <left/>
      <right/>
      <top/>
      <bottom style="thin">
        <color rgb="00B8B8B2"/>
      </bottom>
      <diagonal/>
    </border>
    <border>
      <left style="thin">
        <color rgb="00141414"/>
      </left>
      <right style="thin">
        <color rgb="00141414"/>
      </right>
      <top style="thin">
        <color rgb="00141414"/>
      </top>
      <bottom style="thin">
        <color rgb="00141414"/>
      </bottom>
    </border>
    <border>
      <left style="thin">
        <color rgb="00B8B8B2"/>
      </left>
      <right style="thin">
        <color rgb="00B8B8B2"/>
      </right>
      <top style="thin">
        <color rgb="00B8B8B2"/>
      </top>
      <bottom style="thin">
        <color rgb="00B8B8B2"/>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horizontal="right"/>
    </xf>
    <xf numFmtId="0" fontId="2" fillId="0" borderId="0" pivotButton="0" quotePrefix="0" xfId="0"/>
    <xf numFmtId="0" fontId="0" fillId="0" borderId="1" pivotButton="0" quotePrefix="0" xfId="0"/>
    <xf numFmtId="0" fontId="0" fillId="0" borderId="2" pivotButton="0" quotePrefix="0" xfId="0"/>
    <xf numFmtId="0" fontId="3" fillId="0" borderId="0" pivotButton="0" quotePrefix="0" xfId="0"/>
    <xf numFmtId="0" fontId="4" fillId="0" borderId="1" pivotButton="0" quotePrefix="0" xfId="0"/>
    <xf numFmtId="0" fontId="5" fillId="2" borderId="3" applyAlignment="1" pivotButton="0" quotePrefix="0" xfId="0">
      <alignment horizontal="left" vertical="center" wrapText="1"/>
    </xf>
    <xf numFmtId="0" fontId="5" fillId="2" borderId="3" applyAlignment="1" pivotButton="0" quotePrefix="0" xfId="0">
      <alignment horizontal="center" vertical="center" wrapText="1"/>
    </xf>
    <xf numFmtId="0" fontId="4" fillId="0" borderId="4" pivotButton="0" quotePrefix="0" xfId="0"/>
    <xf numFmtId="0" fontId="4" fillId="0" borderId="4" applyAlignment="1" pivotButton="0" quotePrefix="0" xfId="0">
      <alignment horizontal="center"/>
    </xf>
    <xf numFmtId="164" fontId="4" fillId="0" borderId="4" applyAlignment="1" pivotButton="0" quotePrefix="0" xfId="0">
      <alignment horizontal="right"/>
    </xf>
    <xf numFmtId="0" fontId="5" fillId="2" borderId="3" pivotButton="0" quotePrefix="0" xfId="0"/>
    <xf numFmtId="0" fontId="0" fillId="2" borderId="3" pivotButton="0" quotePrefix="0" xfId="0"/>
    <xf numFmtId="164" fontId="5" fillId="2" borderId="3" applyAlignment="1" pivotButton="0" quotePrefix="0" xfId="0">
      <alignment horizontal="right"/>
    </xf>
    <xf numFmtId="0" fontId="2" fillId="0" borderId="4" applyAlignment="1" pivotButton="0" quotePrefix="0" xfId="0">
      <alignment vertical="top" wrapText="1"/>
    </xf>
    <xf numFmtId="0" fontId="0" fillId="0" borderId="4" pivotButton="0" quotePrefix="0" xfId="0"/>
    <xf numFmtId="0" fontId="4" fillId="0" borderId="0" pivotButton="0" quotePrefix="0" xfId="0"/>
    <xf numFmtId="0" fontId="0" fillId="0" borderId="3" pivotButton="0" quotePrefix="0" xfId="0"/>
    <xf numFmtId="0" fontId="6" fillId="0" borderId="0" applyAlignment="1" pivotButton="0" quotePrefix="0" xfId="0">
      <alignment vertical="top" wrapText="1"/>
    </xf>
    <xf numFmtId="0" fontId="6" fillId="0" borderId="0" pivotButton="0" quotePrefix="0" xfId="0"/>
    <xf numFmtId="9" fontId="4" fillId="0" borderId="4"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7"/>
  <sheetViews>
    <sheetView showGridLines="0" workbookViewId="0">
      <selection activeCell="A1" sqref="A1"/>
    </sheetView>
  </sheetViews>
  <sheetFormatPr baseColWidth="8" defaultRowHeight="15"/>
  <cols>
    <col width="34" customWidth="1" min="1" max="1"/>
    <col width="12" customWidth="1" min="2" max="2"/>
    <col width="16" customWidth="1" min="3" max="3"/>
    <col width="10" customWidth="1" min="4" max="4"/>
    <col width="16" customWidth="1" min="5" max="5"/>
    <col width="16" customWidth="1" min="6" max="6"/>
  </cols>
  <sheetData>
    <row r="1" ht="26" customHeight="1">
      <c r="A1" s="1" t="inlineStr">
        <is>
          <t>Ordre de réparation</t>
        </is>
      </c>
      <c r="E1" s="2" t="inlineStr">
        <is>
          <t>Garage (nom, adresse, téléphone, SIRET, n° de TVA)</t>
        </is>
      </c>
    </row>
    <row r="2">
      <c r="A2" s="3" t="inlineStr">
        <is>
          <t>Accord écrit avant intervention, en deux exemplaires (client et garage)</t>
        </is>
      </c>
      <c r="E2" s="4" t="n"/>
      <c r="F2" s="5" t="n"/>
    </row>
    <row r="3">
      <c r="E3" s="4" t="n"/>
      <c r="F3" s="5" t="n"/>
    </row>
    <row r="4">
      <c r="E4" s="4" t="n"/>
      <c r="F4" s="5" t="n"/>
    </row>
    <row r="6" ht="18" customHeight="1">
      <c r="A6" s="6" t="inlineStr">
        <is>
          <t>RÉFÉRENCES</t>
        </is>
      </c>
    </row>
    <row r="7">
      <c r="A7" s="3" t="inlineStr">
        <is>
          <t>N° d'ordre</t>
        </is>
      </c>
      <c r="B7" s="7" t="n"/>
      <c r="C7" s="3" t="inlineStr">
        <is>
          <t>Date d'entrée</t>
        </is>
      </c>
      <c r="D7" s="7" t="n"/>
      <c r="E7" s="3" t="inlineStr">
        <is>
          <t>Restitution prévue</t>
        </is>
      </c>
      <c r="F7" s="7" t="n"/>
    </row>
    <row r="8">
      <c r="A8" s="3" t="inlineStr">
        <is>
          <t>Réceptionnaire</t>
        </is>
      </c>
      <c r="B8" s="7" t="n"/>
    </row>
    <row r="10" ht="18" customHeight="1">
      <c r="A10" s="6" t="inlineStr">
        <is>
          <t>CLIENT</t>
        </is>
      </c>
    </row>
    <row r="11">
      <c r="A11" s="3" t="inlineStr">
        <is>
          <t>Nom, prénom</t>
        </is>
      </c>
      <c r="B11" s="7" t="n"/>
      <c r="C11" s="4" t="n"/>
      <c r="D11" s="3" t="inlineStr">
        <is>
          <t>Téléphone</t>
        </is>
      </c>
      <c r="E11" s="7" t="n"/>
      <c r="F11" s="4" t="n"/>
    </row>
    <row r="12">
      <c r="A12" s="3" t="inlineStr">
        <is>
          <t>Adresse</t>
        </is>
      </c>
      <c r="B12" s="7" t="n"/>
      <c r="C12" s="4" t="n"/>
      <c r="D12" s="3" t="inlineStr">
        <is>
          <t>E-mail</t>
        </is>
      </c>
      <c r="E12" s="7" t="n"/>
      <c r="F12" s="4" t="n"/>
    </row>
    <row r="14" ht="18" customHeight="1">
      <c r="A14" s="6" t="inlineStr">
        <is>
          <t>VÉHICULE</t>
        </is>
      </c>
    </row>
    <row r="15">
      <c r="A15" s="3" t="inlineStr">
        <is>
          <t>Immatriculation</t>
        </is>
      </c>
      <c r="B15" s="7" t="n"/>
      <c r="C15" s="4" t="n"/>
      <c r="D15" s="3" t="inlineStr">
        <is>
          <t>Kilométrage à l'entrée</t>
        </is>
      </c>
      <c r="E15" s="7" t="n"/>
      <c r="F15" s="4" t="n"/>
    </row>
    <row r="16">
      <c r="A16" s="3" t="inlineStr">
        <is>
          <t>Marque, modèle, motorisation</t>
        </is>
      </c>
      <c r="B16" s="7" t="n"/>
      <c r="C16" s="4" t="n"/>
      <c r="D16" s="3" t="inlineStr">
        <is>
          <t>N° de série (VIN)</t>
        </is>
      </c>
      <c r="E16" s="7" t="n"/>
      <c r="F16" s="4" t="n"/>
    </row>
    <row r="17">
      <c r="A17" s="3" t="inlineStr">
        <is>
          <t>1re mise en circulation</t>
        </is>
      </c>
      <c r="B17" s="7" t="n"/>
      <c r="C17" s="4" t="n"/>
      <c r="D17" s="3" t="inlineStr">
        <is>
          <t>Niveau de carburant à l'entrée</t>
        </is>
      </c>
      <c r="E17" s="7" t="n"/>
      <c r="F17" s="4" t="n"/>
    </row>
    <row r="19" ht="18" customHeight="1">
      <c r="A19" s="6" t="inlineStr">
        <is>
          <t>TRAVAUX DEMANDÉS ET ESTIMATION</t>
        </is>
      </c>
    </row>
    <row r="20" ht="28" customHeight="1">
      <c r="A20" s="8" t="inlineStr">
        <is>
          <t>Désignation (symptôme constaté, travaux à réaliser)</t>
        </is>
      </c>
      <c r="B20" s="9" t="inlineStr">
        <is>
          <t>Qté</t>
        </is>
      </c>
      <c r="C20" s="9" t="inlineStr">
        <is>
          <t>Main-d'œuvre (h)</t>
        </is>
      </c>
      <c r="D20" s="9" t="inlineStr">
        <is>
          <t>Taux horaire TTC</t>
        </is>
      </c>
      <c r="E20" s="9" t="inlineStr">
        <is>
          <t>Pièces TTC</t>
        </is>
      </c>
      <c r="F20" s="9" t="inlineStr">
        <is>
          <t>Estimation TTC</t>
        </is>
      </c>
    </row>
    <row r="21" ht="20" customHeight="1">
      <c r="A21" s="10" t="n"/>
      <c r="B21" s="11" t="n"/>
      <c r="C21" s="11" t="n"/>
      <c r="D21" s="12" t="n"/>
      <c r="E21" s="12" t="n"/>
      <c r="F21" s="12">
        <f>IF(OR(C21&lt;&gt;"",E21&lt;&gt;""),C21*D21+E21,"")</f>
        <v/>
      </c>
    </row>
    <row r="22" ht="20" customHeight="1">
      <c r="A22" s="10" t="n"/>
      <c r="B22" s="11" t="n"/>
      <c r="C22" s="11" t="n"/>
      <c r="D22" s="12" t="n"/>
      <c r="E22" s="12" t="n"/>
      <c r="F22" s="12">
        <f>IF(OR(C22&lt;&gt;"",E22&lt;&gt;""),C22*D22+E22,"")</f>
        <v/>
      </c>
    </row>
    <row r="23" ht="20" customHeight="1">
      <c r="A23" s="10" t="n"/>
      <c r="B23" s="11" t="n"/>
      <c r="C23" s="11" t="n"/>
      <c r="D23" s="12" t="n"/>
      <c r="E23" s="12" t="n"/>
      <c r="F23" s="12">
        <f>IF(OR(C23&lt;&gt;"",E23&lt;&gt;""),C23*D23+E23,"")</f>
        <v/>
      </c>
    </row>
    <row r="24" ht="20" customHeight="1">
      <c r="A24" s="10" t="n"/>
      <c r="B24" s="11" t="n"/>
      <c r="C24" s="11" t="n"/>
      <c r="D24" s="12" t="n"/>
      <c r="E24" s="12" t="n"/>
      <c r="F24" s="12">
        <f>IF(OR(C24&lt;&gt;"",E24&lt;&gt;""),C24*D24+E24,"")</f>
        <v/>
      </c>
    </row>
    <row r="25" ht="20" customHeight="1">
      <c r="A25" s="10" t="n"/>
      <c r="B25" s="11" t="n"/>
      <c r="C25" s="11" t="n"/>
      <c r="D25" s="12" t="n"/>
      <c r="E25" s="12" t="n"/>
      <c r="F25" s="12">
        <f>IF(OR(C25&lt;&gt;"",E25&lt;&gt;""),C25*D25+E25,"")</f>
        <v/>
      </c>
    </row>
    <row r="26" ht="20" customHeight="1">
      <c r="A26" s="10" t="n"/>
      <c r="B26" s="11" t="n"/>
      <c r="C26" s="11" t="n"/>
      <c r="D26" s="12" t="n"/>
      <c r="E26" s="12" t="n"/>
      <c r="F26" s="12">
        <f>IF(OR(C26&lt;&gt;"",E26&lt;&gt;""),C26*D26+E26,"")</f>
        <v/>
      </c>
    </row>
    <row r="27" ht="20" customHeight="1">
      <c r="A27" s="10" t="n"/>
      <c r="B27" s="11" t="n"/>
      <c r="C27" s="11" t="n"/>
      <c r="D27" s="12" t="n"/>
      <c r="E27" s="12" t="n"/>
      <c r="F27" s="12">
        <f>IF(OR(C27&lt;&gt;"",E27&lt;&gt;""),C27*D27+E27,"")</f>
        <v/>
      </c>
    </row>
    <row r="28" ht="20" customHeight="1">
      <c r="A28" s="10" t="n"/>
      <c r="B28" s="11" t="n"/>
      <c r="C28" s="11" t="n"/>
      <c r="D28" s="12" t="n"/>
      <c r="E28" s="12" t="n"/>
      <c r="F28" s="12">
        <f>IF(OR(C28&lt;&gt;"",E28&lt;&gt;""),C28*D28+E28,"")</f>
        <v/>
      </c>
    </row>
    <row r="29">
      <c r="A29" s="13" t="inlineStr">
        <is>
          <t>Coût probable de l'intervention (TTC)</t>
        </is>
      </c>
      <c r="B29" s="14" t="n"/>
      <c r="C29" s="14" t="n"/>
      <c r="D29" s="14" t="n"/>
      <c r="E29" s="14" t="n"/>
      <c r="F29" s="15">
        <f>SUM(F21:F28)</f>
        <v/>
      </c>
    </row>
    <row r="31" ht="18" customHeight="1">
      <c r="A31" s="6" t="inlineStr">
        <is>
          <t>ÉTAT DU VÉHICULE À L'ENTRÉE</t>
        </is>
      </c>
    </row>
    <row r="32">
      <c r="A32" s="16" t="inlineStr">
        <is>
          <t>Carrosserie (rayures, chocs), intérieur, objets laissés dans le véhicule, voyants allumés…</t>
        </is>
      </c>
      <c r="B32" s="17" t="n"/>
      <c r="C32" s="17" t="n"/>
      <c r="D32" s="17" t="n"/>
      <c r="E32" s="17" t="n"/>
      <c r="F32" s="17" t="n"/>
    </row>
    <row r="33">
      <c r="A33" s="17" t="n"/>
      <c r="B33" s="17" t="n"/>
      <c r="C33" s="17" t="n"/>
      <c r="D33" s="17" t="n"/>
      <c r="E33" s="17" t="n"/>
      <c r="F33" s="17" t="n"/>
    </row>
    <row r="34">
      <c r="A34" s="17" t="n"/>
      <c r="B34" s="17" t="n"/>
      <c r="C34" s="17" t="n"/>
      <c r="D34" s="17" t="n"/>
      <c r="E34" s="17" t="n"/>
      <c r="F34" s="17" t="n"/>
    </row>
    <row r="36" ht="18" customHeight="1">
      <c r="A36" s="6" t="inlineStr">
        <is>
          <t>ACCORDS DU CLIENT (COCHER)</t>
        </is>
      </c>
    </row>
    <row r="37">
      <c r="A37" s="18" t="inlineStr">
        <is>
          <t>☐  J'accepte les pièces issues de l'économie circulaire (pièces de réemploi) quand elles sont proposées.</t>
        </is>
      </c>
    </row>
    <row r="38">
      <c r="A38" s="18" t="inlineStr">
        <is>
          <t>☐  Travaux supplémentaires : m'appeler avant tout dépassement de ______ € TTC.</t>
        </is>
      </c>
    </row>
    <row r="39">
      <c r="A39" s="18" t="inlineStr">
        <is>
          <t>☐  Je souhaite récupérer les pièces remplacées.</t>
        </is>
      </c>
    </row>
    <row r="41">
      <c r="A41" s="3" t="inlineStr">
        <is>
          <t>Signature du client, précédée de « Bon pour accord »</t>
        </is>
      </c>
      <c r="D41" s="3" t="inlineStr">
        <is>
          <t>Signature et cachet du garage</t>
        </is>
      </c>
    </row>
    <row r="42">
      <c r="A42" s="19" t="n"/>
      <c r="B42" s="19" t="n"/>
      <c r="C42" s="19" t="n"/>
      <c r="D42" s="19" t="n"/>
      <c r="E42" s="19" t="n"/>
      <c r="F42" s="19" t="n"/>
    </row>
    <row r="43">
      <c r="A43" s="19" t="n"/>
      <c r="B43" s="19" t="n"/>
      <c r="C43" s="19" t="n"/>
      <c r="D43" s="19" t="n"/>
      <c r="E43" s="19" t="n"/>
      <c r="F43" s="19" t="n"/>
    </row>
    <row r="44">
      <c r="A44" s="19" t="n"/>
      <c r="B44" s="19" t="n"/>
      <c r="C44" s="19" t="n"/>
      <c r="D44" s="19" t="n"/>
      <c r="E44" s="19" t="n"/>
      <c r="F44" s="19" t="n"/>
    </row>
    <row r="46" ht="44" customHeight="1">
      <c r="A46" s="20" t="inlineStr">
        <is>
          <t>Le kilométrage au compteur figure sur tous les documents (devis, ordre de réparation, facture). Le professionnel permet au client d'opter pour des pièces issues de l'économie circulaire (art. L. 224-67 du code de la consommation), sauf cas prévus à l'art. R. 224-23. Une note est remise pour toute prestation de 25 € TTC et plus. Les prix TTC des prestations et les taux horaires sont affichés à l'entrée et à l'accueil.</t>
        </is>
      </c>
    </row>
    <row r="47">
      <c r="A47" s="21" t="inlineStr">
        <is>
          <t>Modèle proposé par Dibodev, développeur de logiciels de gestion pour les garages — dibodev.fr — Feuille 1/2 — à adapter à votre atelier</t>
        </is>
      </c>
    </row>
  </sheetData>
  <mergeCells count="28">
    <mergeCell ref="E12:F12"/>
    <mergeCell ref="A41:C41"/>
    <mergeCell ref="B16:C16"/>
    <mergeCell ref="A46:F46"/>
    <mergeCell ref="D41:F41"/>
    <mergeCell ref="A37:F37"/>
    <mergeCell ref="E17:F17"/>
    <mergeCell ref="B12:C12"/>
    <mergeCell ref="E4:F4"/>
    <mergeCell ref="A47:F47"/>
    <mergeCell ref="A42:C44"/>
    <mergeCell ref="B11:C11"/>
    <mergeCell ref="B7"/>
    <mergeCell ref="B17:C17"/>
    <mergeCell ref="A38:F38"/>
    <mergeCell ref="F7"/>
    <mergeCell ref="A32:F34"/>
    <mergeCell ref="D42:F44"/>
    <mergeCell ref="E15:F15"/>
    <mergeCell ref="E2:F2"/>
    <mergeCell ref="E11:F11"/>
    <mergeCell ref="A39:F39"/>
    <mergeCell ref="B8"/>
    <mergeCell ref="A29:E29"/>
    <mergeCell ref="B15:C15"/>
    <mergeCell ref="E16:F16"/>
    <mergeCell ref="D7"/>
    <mergeCell ref="E3:F3"/>
  </mergeCells>
  <printOptions horizontalCentered="1"/>
  <pageMargins left="0.5" right="0.5" top="0.6" bottom="0.6"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F43"/>
  <sheetViews>
    <sheetView showGridLines="0" workbookViewId="0">
      <selection activeCell="A1" sqref="A1"/>
    </sheetView>
  </sheetViews>
  <sheetFormatPr baseColWidth="8" defaultRowHeight="15"/>
  <cols>
    <col width="40" customWidth="1" min="1" max="1"/>
    <col width="10" customWidth="1" min="2" max="2"/>
    <col width="16" customWidth="1" min="3" max="3"/>
    <col width="10" customWidth="1" min="4" max="4"/>
    <col width="16" customWidth="1" min="5" max="5"/>
    <col width="16" customWidth="1" min="6" max="6"/>
  </cols>
  <sheetData>
    <row r="1" ht="26" customHeight="1">
      <c r="A1" s="1" t="inlineStr">
        <is>
          <t>Devis</t>
        </is>
      </c>
      <c r="E1" s="2" t="inlineStr">
        <is>
          <t>Garage (nom, adresse, téléphone, SIRET, n° de TVA)</t>
        </is>
      </c>
    </row>
    <row r="2">
      <c r="A2" s="3" t="inlineStr">
        <is>
          <t>Réparation, entretien ou carrosserie — valable jusqu'à la date indiquée</t>
        </is>
      </c>
      <c r="E2" s="4" t="n"/>
      <c r="F2" s="5" t="n"/>
    </row>
    <row r="3">
      <c r="E3" s="4" t="n"/>
      <c r="F3" s="5" t="n"/>
    </row>
    <row r="4">
      <c r="E4" s="4" t="n"/>
      <c r="F4" s="5" t="n"/>
    </row>
    <row r="6" ht="18" customHeight="1">
      <c r="A6" s="6" t="inlineStr">
        <is>
          <t>RÉFÉRENCES</t>
        </is>
      </c>
    </row>
    <row r="7">
      <c r="A7" s="3" t="inlineStr">
        <is>
          <t>N° de devis</t>
        </is>
      </c>
      <c r="B7" s="7" t="n"/>
      <c r="C7" s="3" t="inlineStr">
        <is>
          <t>Date</t>
        </is>
      </c>
      <c r="D7" s="7" t="n"/>
      <c r="E7" s="3" t="inlineStr">
        <is>
          <t>Valable jusqu'au</t>
        </is>
      </c>
      <c r="F7" s="7" t="n"/>
    </row>
    <row r="8">
      <c r="A8" s="3" t="inlineStr">
        <is>
          <t>Devis payant (oui / non, montant)</t>
        </is>
      </c>
      <c r="B8" s="7" t="n"/>
    </row>
    <row r="10" ht="18" customHeight="1">
      <c r="A10" s="6" t="inlineStr">
        <is>
          <t>CLIENT ET VÉHICULE</t>
        </is>
      </c>
    </row>
    <row r="11">
      <c r="A11" s="3" t="inlineStr">
        <is>
          <t>Client (nom, adresse)</t>
        </is>
      </c>
      <c r="B11" s="7" t="n"/>
      <c r="C11" s="4" t="n"/>
      <c r="D11" s="3" t="inlineStr">
        <is>
          <t>Téléphone / e-mail</t>
        </is>
      </c>
      <c r="E11" s="7" t="n"/>
      <c r="F11" s="4" t="n"/>
    </row>
    <row r="12">
      <c r="A12" s="3" t="inlineStr">
        <is>
          <t>Véhicule (immatriculation, modèle)</t>
        </is>
      </c>
      <c r="B12" s="7" t="n"/>
      <c r="C12" s="4" t="n"/>
      <c r="D12" s="3" t="inlineStr">
        <is>
          <t>Kilométrage</t>
        </is>
      </c>
      <c r="E12" s="7" t="n"/>
      <c r="F12" s="4" t="n"/>
    </row>
    <row r="14" ht="18" customHeight="1">
      <c r="A14" s="6" t="inlineStr">
        <is>
          <t>DÉTAIL DES PRESTATIONS</t>
        </is>
      </c>
    </row>
    <row r="15" ht="28" customHeight="1">
      <c r="A15" s="8" t="inlineStr">
        <is>
          <t>Désignation (pièce ou main-d'œuvre)</t>
        </is>
      </c>
      <c r="B15" s="9" t="inlineStr">
        <is>
          <t>Qté</t>
        </is>
      </c>
      <c r="C15" s="9" t="inlineStr">
        <is>
          <t>Prix unitaire HT</t>
        </is>
      </c>
      <c r="D15" s="9" t="inlineStr">
        <is>
          <t>TVA</t>
        </is>
      </c>
      <c r="E15" s="9" t="inlineStr">
        <is>
          <t>Total HT</t>
        </is>
      </c>
      <c r="F15" s="9" t="inlineStr">
        <is>
          <t>Total TTC</t>
        </is>
      </c>
    </row>
    <row r="16" ht="20" customHeight="1">
      <c r="A16" s="10" t="n"/>
      <c r="B16" s="11" t="n"/>
      <c r="C16" s="12" t="n"/>
      <c r="D16" s="22" t="n">
        <v>0.2</v>
      </c>
      <c r="E16" s="12">
        <f>IF(B16&lt;&gt;"",B16*C16,"")</f>
        <v/>
      </c>
      <c r="F16" s="12">
        <f>IF(B16&lt;&gt;"",E16*(1+D16),"")</f>
        <v/>
      </c>
    </row>
    <row r="17" ht="20" customHeight="1">
      <c r="A17" s="10" t="n"/>
      <c r="B17" s="11" t="n"/>
      <c r="C17" s="12" t="n"/>
      <c r="D17" s="22" t="n">
        <v>0.2</v>
      </c>
      <c r="E17" s="12">
        <f>IF(B17&lt;&gt;"",B17*C17,"")</f>
        <v/>
      </c>
      <c r="F17" s="12">
        <f>IF(B17&lt;&gt;"",E17*(1+D17),"")</f>
        <v/>
      </c>
    </row>
    <row r="18" ht="20" customHeight="1">
      <c r="A18" s="10" t="n"/>
      <c r="B18" s="11" t="n"/>
      <c r="C18" s="12" t="n"/>
      <c r="D18" s="22" t="n">
        <v>0.2</v>
      </c>
      <c r="E18" s="12">
        <f>IF(B18&lt;&gt;"",B18*C18,"")</f>
        <v/>
      </c>
      <c r="F18" s="12">
        <f>IF(B18&lt;&gt;"",E18*(1+D18),"")</f>
        <v/>
      </c>
    </row>
    <row r="19" ht="20" customHeight="1">
      <c r="A19" s="10" t="n"/>
      <c r="B19" s="11" t="n"/>
      <c r="C19" s="12" t="n"/>
      <c r="D19" s="22" t="n">
        <v>0.2</v>
      </c>
      <c r="E19" s="12">
        <f>IF(B19&lt;&gt;"",B19*C19,"")</f>
        <v/>
      </c>
      <c r="F19" s="12">
        <f>IF(B19&lt;&gt;"",E19*(1+D19),"")</f>
        <v/>
      </c>
    </row>
    <row r="20" ht="20" customHeight="1">
      <c r="A20" s="10" t="n"/>
      <c r="B20" s="11" t="n"/>
      <c r="C20" s="12" t="n"/>
      <c r="D20" s="22" t="n">
        <v>0.2</v>
      </c>
      <c r="E20" s="12">
        <f>IF(B20&lt;&gt;"",B20*C20,"")</f>
        <v/>
      </c>
      <c r="F20" s="12">
        <f>IF(B20&lt;&gt;"",E20*(1+D20),"")</f>
        <v/>
      </c>
    </row>
    <row r="21" ht="20" customHeight="1">
      <c r="A21" s="10" t="n"/>
      <c r="B21" s="11" t="n"/>
      <c r="C21" s="12" t="n"/>
      <c r="D21" s="22" t="n">
        <v>0.2</v>
      </c>
      <c r="E21" s="12">
        <f>IF(B21&lt;&gt;"",B21*C21,"")</f>
        <v/>
      </c>
      <c r="F21" s="12">
        <f>IF(B21&lt;&gt;"",E21*(1+D21),"")</f>
        <v/>
      </c>
    </row>
    <row r="22" ht="20" customHeight="1">
      <c r="A22" s="10" t="n"/>
      <c r="B22" s="11" t="n"/>
      <c r="C22" s="12" t="n"/>
      <c r="D22" s="22" t="n">
        <v>0.2</v>
      </c>
      <c r="E22" s="12">
        <f>IF(B22&lt;&gt;"",B22*C22,"")</f>
        <v/>
      </c>
      <c r="F22" s="12">
        <f>IF(B22&lt;&gt;"",E22*(1+D22),"")</f>
        <v/>
      </c>
    </row>
    <row r="23" ht="20" customHeight="1">
      <c r="A23" s="10" t="n"/>
      <c r="B23" s="11" t="n"/>
      <c r="C23" s="12" t="n"/>
      <c r="D23" s="22" t="n">
        <v>0.2</v>
      </c>
      <c r="E23" s="12">
        <f>IF(B23&lt;&gt;"",B23*C23,"")</f>
        <v/>
      </c>
      <c r="F23" s="12">
        <f>IF(B23&lt;&gt;"",E23*(1+D23),"")</f>
        <v/>
      </c>
    </row>
    <row r="24" ht="20" customHeight="1">
      <c r="A24" s="10" t="n"/>
      <c r="B24" s="11" t="n"/>
      <c r="C24" s="12" t="n"/>
      <c r="D24" s="22" t="n">
        <v>0.2</v>
      </c>
      <c r="E24" s="12">
        <f>IF(B24&lt;&gt;"",B24*C24,"")</f>
        <v/>
      </c>
      <c r="F24" s="12">
        <f>IF(B24&lt;&gt;"",E24*(1+D24),"")</f>
        <v/>
      </c>
    </row>
    <row r="25" ht="20" customHeight="1">
      <c r="A25" s="10" t="n"/>
      <c r="B25" s="11" t="n"/>
      <c r="C25" s="12" t="n"/>
      <c r="D25" s="22" t="n">
        <v>0.2</v>
      </c>
      <c r="E25" s="12">
        <f>IF(B25&lt;&gt;"",B25*C25,"")</f>
        <v/>
      </c>
      <c r="F25" s="12">
        <f>IF(B25&lt;&gt;"",E25*(1+D25),"")</f>
        <v/>
      </c>
    </row>
    <row r="26" ht="20" customHeight="1">
      <c r="A26" s="10" t="n"/>
      <c r="B26" s="11" t="n"/>
      <c r="C26" s="12" t="n"/>
      <c r="D26" s="22" t="n">
        <v>0.2</v>
      </c>
      <c r="E26" s="12">
        <f>IF(B26&lt;&gt;"",B26*C26,"")</f>
        <v/>
      </c>
      <c r="F26" s="12">
        <f>IF(B26&lt;&gt;"",E26*(1+D26),"")</f>
        <v/>
      </c>
    </row>
    <row r="27" ht="20" customHeight="1">
      <c r="A27" s="10" t="n"/>
      <c r="B27" s="11" t="n"/>
      <c r="C27" s="12" t="n"/>
      <c r="D27" s="22" t="n">
        <v>0.2</v>
      </c>
      <c r="E27" s="12">
        <f>IF(B27&lt;&gt;"",B27*C27,"")</f>
        <v/>
      </c>
      <c r="F27" s="12">
        <f>IF(B27&lt;&gt;"",E27*(1+D27),"")</f>
        <v/>
      </c>
    </row>
    <row r="28">
      <c r="A28" s="13" t="inlineStr">
        <is>
          <t>Total HT</t>
        </is>
      </c>
      <c r="B28" s="14" t="n"/>
      <c r="C28" s="14" t="n"/>
      <c r="D28" s="14" t="n"/>
      <c r="E28" s="14" t="n"/>
      <c r="F28" s="15">
        <f>SUM(E16:E27)</f>
        <v/>
      </c>
    </row>
    <row r="29">
      <c r="A29" s="13" t="inlineStr">
        <is>
          <t>TVA</t>
        </is>
      </c>
      <c r="B29" s="14" t="n"/>
      <c r="C29" s="14" t="n"/>
      <c r="D29" s="14" t="n"/>
      <c r="E29" s="14" t="n"/>
      <c r="F29" s="15">
        <f>SUM(F16:F27)-SUM(E16:E27)</f>
        <v/>
      </c>
    </row>
    <row r="30">
      <c r="A30" s="13" t="inlineStr">
        <is>
          <t>Total TTC</t>
        </is>
      </c>
      <c r="B30" s="14" t="n"/>
      <c r="C30" s="14" t="n"/>
      <c r="D30" s="14" t="n"/>
      <c r="E30" s="14" t="n"/>
      <c r="F30" s="15">
        <f>SUM(F16:F27)</f>
        <v/>
      </c>
    </row>
    <row r="32" ht="18" customHeight="1">
      <c r="A32" s="6" t="inlineStr">
        <is>
          <t>CONDITIONS</t>
        </is>
      </c>
    </row>
    <row r="33">
      <c r="A33" s="16" t="inlineStr">
        <is>
          <t>Délai d'immobilisation prévu, acompte éventuel, modalités de paiement, pièces de réemploi proposées (oui / non, lesquelles), garantie des pièces et de la main-d'œuvre.</t>
        </is>
      </c>
      <c r="B33" s="17" t="n"/>
      <c r="C33" s="17" t="n"/>
      <c r="D33" s="17" t="n"/>
      <c r="E33" s="17" t="n"/>
      <c r="F33" s="17" t="n"/>
    </row>
    <row r="34">
      <c r="A34" s="17" t="n"/>
      <c r="B34" s="17" t="n"/>
      <c r="C34" s="17" t="n"/>
      <c r="D34" s="17" t="n"/>
      <c r="E34" s="17" t="n"/>
      <c r="F34" s="17" t="n"/>
    </row>
    <row r="35">
      <c r="A35" s="17" t="n"/>
      <c r="B35" s="17" t="n"/>
      <c r="C35" s="17" t="n"/>
      <c r="D35" s="17" t="n"/>
      <c r="E35" s="17" t="n"/>
      <c r="F35" s="17" t="n"/>
    </row>
    <row r="37">
      <c r="A37" s="3" t="inlineStr">
        <is>
          <t>Date et signature du client, précédée de « Bon pour accord »</t>
        </is>
      </c>
      <c r="D37" s="3" t="inlineStr">
        <is>
          <t>Signature et cachet du garage</t>
        </is>
      </c>
    </row>
    <row r="38">
      <c r="A38" s="19" t="n"/>
      <c r="B38" s="19" t="n"/>
      <c r="C38" s="19" t="n"/>
      <c r="D38" s="19" t="n"/>
      <c r="E38" s="19" t="n"/>
      <c r="F38" s="19" t="n"/>
    </row>
    <row r="39">
      <c r="A39" s="19" t="n"/>
      <c r="B39" s="19" t="n"/>
      <c r="C39" s="19" t="n"/>
      <c r="D39" s="19" t="n"/>
      <c r="E39" s="19" t="n"/>
      <c r="F39" s="19" t="n"/>
    </row>
    <row r="40">
      <c r="A40" s="19" t="n"/>
      <c r="B40" s="19" t="n"/>
      <c r="C40" s="19" t="n"/>
      <c r="D40" s="19" t="n"/>
      <c r="E40" s="19" t="n"/>
      <c r="F40" s="19" t="n"/>
    </row>
    <row r="42" ht="44" customHeight="1">
      <c r="A42" s="20" t="inlineStr">
        <is>
          <t>Le devis n'est pas obligatoire en réparation automobile, mais le professionnel ne peut pas le refuser (art. R. 111-3 du code de la consommation). Il peut être facturé si le client en est informé avant. Les prix sont libres. Tout travail non prévu au devis demande l'accord du client. La facture mentionne le kilométrage au compteur (décret 78-993 du 4 octobre 1978, art. 3).</t>
        </is>
      </c>
    </row>
    <row r="43">
      <c r="A43" s="21" t="inlineStr">
        <is>
          <t>Modèle proposé par Dibodev, développeur de logiciels de gestion pour les garages — dibodev.fr — Feuille 2/2 — à adapter à votre atelier</t>
        </is>
      </c>
    </row>
  </sheetData>
  <mergeCells count="21">
    <mergeCell ref="A30:E30"/>
    <mergeCell ref="E12:F12"/>
    <mergeCell ref="A37:C37"/>
    <mergeCell ref="B12:C12"/>
    <mergeCell ref="E4:F4"/>
    <mergeCell ref="A42:F42"/>
    <mergeCell ref="B11:C11"/>
    <mergeCell ref="D37:F37"/>
    <mergeCell ref="B7"/>
    <mergeCell ref="A33:F35"/>
    <mergeCell ref="A43:F43"/>
    <mergeCell ref="A38:C40"/>
    <mergeCell ref="F7"/>
    <mergeCell ref="E2:F2"/>
    <mergeCell ref="E11:F11"/>
    <mergeCell ref="D38:F40"/>
    <mergeCell ref="B8"/>
    <mergeCell ref="A29:E29"/>
    <mergeCell ref="A28:E28"/>
    <mergeCell ref="D7"/>
    <mergeCell ref="E3:F3"/>
  </mergeCells>
  <printOptions horizontalCentered="1"/>
  <pageMargins left="0.5" right="0.5" top="0.6" bottom="0.6"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2026-10-18T19:44:59Z</dcterms:created>
  <dcterms:modified xmlns:dcterms="http://purl.org/dc/terms/" xmlns:xsi="http://www.w3.org/2001/XMLSchema-instance" xsi:type="dcterms:W3CDTF">2026-10-18T19:44:59Z</dcterms:modified>
</cp:coreProperties>
</file>